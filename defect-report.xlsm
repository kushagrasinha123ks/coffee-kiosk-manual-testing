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1.xml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Defect Report" sheetId="1" r:id="rId4"/>
  </sheets>
  <definedNames/>
  <calcPr/>
  <extLst>
    <ext uri="GoogleSheetsCustomDataVersion2">
      <go:sheetsCustomData xmlns:go="http://customooxmlschemas.google.com/" r:id="rId5" roundtripDataChecksum="O1R9y76mdg+0nmPJDv2TaAccienU42MTuxULMLGNR44="/>
    </ext>
  </extLst>
</workbook>
</file>

<file path=xl/sharedStrings.xml><?xml version="1.0" encoding="utf-8"?>
<sst xmlns="http://schemas.openxmlformats.org/spreadsheetml/2006/main" count="78" uniqueCount="70">
  <si>
    <t>Coffee Kiosk POS Customer Frontend - Defect Report</t>
  </si>
  <si>
    <t>Total Bugs Logged</t>
  </si>
  <si>
    <t>Report Date</t>
  </si>
  <si>
    <t>Total P0</t>
  </si>
  <si>
    <t>Total Bugs Active</t>
  </si>
  <si>
    <t>Total Bugs Closed</t>
  </si>
  <si>
    <t>Total P1</t>
  </si>
  <si>
    <t>Reference</t>
  </si>
  <si>
    <t>FRS v1.0 / Test Plan v1.0</t>
  </si>
  <si>
    <t>Reported By</t>
  </si>
  <si>
    <t>Kushagra Sinha</t>
  </si>
  <si>
    <t>Total P2</t>
  </si>
  <si>
    <t>Bug ID</t>
  </si>
  <si>
    <t>Requirement ID</t>
  </si>
  <si>
    <t>Test Case ID</t>
  </si>
  <si>
    <t>Module</t>
  </si>
  <si>
    <t>Description / Summary</t>
  </si>
  <si>
    <t>Steps to Reproduce</t>
  </si>
  <si>
    <t>Expected Result</t>
  </si>
  <si>
    <t>Actual Result</t>
  </si>
  <si>
    <t>Severity</t>
  </si>
  <si>
    <t>Priority</t>
  </si>
  <si>
    <t>Bug Status</t>
  </si>
  <si>
    <t>Assigned To</t>
  </si>
  <si>
    <t>Reported Date</t>
  </si>
  <si>
    <t>CK-BUG-001</t>
  </si>
  <si>
    <t>REQ-CHK-05</t>
  </si>
  <si>
    <t>TC_CHK_005</t>
  </si>
  <si>
    <t>Checkout</t>
  </si>
  <si>
    <t>Expired coupon is accepted and reduces the payable amount</t>
  </si>
  <si>
    <t>1. Add Café Latte and Paneer Melt.
2. Open Checkout.
3. Enter EXPIRED10.
4. Tap Apply.
5. Review the discount and payable amount.</t>
  </si>
  <si>
    <t>The system should show an expired-coupon message and apply no discount.</t>
  </si>
  <si>
    <t>EXPIRED10 was accepted and reduced the payable amount by ₹52.</t>
  </si>
  <si>
    <t>High</t>
  </si>
  <si>
    <t>P1</t>
  </si>
  <si>
    <t>Assigned</t>
  </si>
  <si>
    <t>Backend Team</t>
  </si>
  <si>
    <t>CK-BUG-002</t>
  </si>
  <si>
    <t>REQ-REL-02</t>
  </si>
  <si>
    <t>TC_REL_002</t>
  </si>
  <si>
    <t>Payment Gateway</t>
  </si>
  <si>
    <t>Repeated Pay taps create duplicate payment requests</t>
  </si>
  <si>
    <t>1. Reach Checkout with a valid order.
2. Select Dine-in and UPI.
3. Rapidly tap Pay five times.
4. Review created gateway requests and order references.</t>
  </si>
  <si>
    <t>Only one order and one payment request should be created.</t>
  </si>
  <si>
    <t>Five rapid taps originally created two payment requests for the same order. The supplied fix passed retesting.</t>
  </si>
  <si>
    <t>Critical</t>
  </si>
  <si>
    <t>P0</t>
  </si>
  <si>
    <t>Closed</t>
  </si>
  <si>
    <t>Payments Integration Team</t>
  </si>
  <si>
    <t>CK-BUG-003</t>
  </si>
  <si>
    <t>REQ-RCT-04</t>
  </si>
  <si>
    <t>TC_RCT_004</t>
  </si>
  <si>
    <t>Receipt</t>
  </si>
  <si>
    <t>Invalid receipt email shows a false sent confirmation</t>
  </si>
  <si>
    <t>1. Complete a successful payment.
2. Enter receipt@ in the receipt email field.
3. Tap Send.
4. Check the controlled inbox.</t>
  </si>
  <si>
    <t>The kiosk should reject the invalid email and should not show a sent confirmation.</t>
  </si>
  <si>
    <t>The kiosk accepted receipt@, showed a sent confirmation, and no email arrived.</t>
  </si>
  <si>
    <t>Medium</t>
  </si>
  <si>
    <t>P2</t>
  </si>
  <si>
    <t>Ready for Re-Test</t>
  </si>
  <si>
    <t>Frontend Team</t>
  </si>
  <si>
    <t>CK-BUG-004</t>
  </si>
  <si>
    <t>REQ-SEC-01</t>
  </si>
  <si>
    <t>TC_SEC_001</t>
  </si>
  <si>
    <t>Session Management</t>
  </si>
  <si>
    <t>Cart is not cleared after two minutes of inactivity</t>
  </si>
  <si>
    <t>1. Add Café Latte to the cart.
2. Apply BREW10.
3. Leave the kiosk untouched for two minutes.
4. Inspect the cart and coupon state.</t>
  </si>
  <si>
    <t>The kiosk should clear the local session and return to the menu.</t>
  </si>
  <si>
    <t>The cart item and coupon remained after two minutes without touch input.</t>
  </si>
  <si>
    <t>Opened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</si>
</sst>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dd-mmm-yyyy"/>
  </numFmts>
  <fonts count="7">
    <font>
      <sz val="11.0"/>
      <color rgb="FF000000"/>
      <name val="Carlito"/>
      <scheme val="minor"/>
    </font>
    <font>
      <b/>
      <sz val="14.0"/>
      <color rgb="FFFFFFFF"/>
      <name val="Arial"/>
    </font>
    <font>
      <b/>
      <sz val="9.0"/>
      <color rgb="FFFFFFFF"/>
      <name val="Arial"/>
    </font>
    <font>
      <b/>
      <sz val="10.0"/>
      <color rgb="FF203864"/>
      <name val="Arial"/>
    </font>
    <font>
      <b/>
      <sz val="10.0"/>
      <color rgb="FFFFFFFF"/>
      <name val="Arial"/>
    </font>
    <font>
      <sz val="10.0"/>
      <color rgb="FF1F2937"/>
      <name val="Arial"/>
    </font>
    <font>
      <color theme="1"/>
      <name val="Carlito"/>
      <scheme val="minor"/>
    </font>
  </fonts>
  <fills count="5">
    <fill>
      <patternFill patternType="none"/>
    </fill>
    <fill>
      <patternFill patternType="lightGray"/>
    </fill>
    <fill>
      <patternFill patternType="solid">
        <fgColor rgb="FF203864"/>
        <bgColor rgb="FF203864"/>
      </patternFill>
    </fill>
    <fill>
      <patternFill patternType="solid">
        <fgColor rgb="FF2F5597"/>
        <bgColor rgb="FF2F5597"/>
      </patternFill>
    </fill>
    <fill>
      <patternFill patternType="solid">
        <fgColor rgb="FFEEF4FB"/>
        <bgColor rgb="FFEEF4FB"/>
      </patternFill>
    </fill>
  </fills>
  <borders count="3">
    <border/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</border>
    <border>
      <left style="thin">
        <color rgb="FFB8C6D9"/>
      </left>
      <right style="thin">
        <color rgb="FFB8C6D9"/>
      </right>
      <top style="thin">
        <color rgb="FFB8C6D9"/>
      </top>
      <bottom style="thin">
        <color rgb="FFB8C6D9"/>
      </bottom>
    </border>
  </borders>
  <cellStyleXfs count="1">
    <xf borderId="0" fillId="0" fontId="0" numFmtId="0" applyAlignment="1" applyFont="1"/>
  </cellStyleXfs>
  <cellXfs count="11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left" vertical="center"/>
    </xf>
    <xf borderId="1" fillId="3" fontId="2" numFmtId="0" xfId="0" applyAlignment="1" applyBorder="1" applyFill="1" applyFont="1">
      <alignment horizontal="center" shrinkToFit="0" vertical="center" wrapText="1"/>
    </xf>
    <xf borderId="2" fillId="4" fontId="3" numFmtId="0" xfId="0" applyAlignment="1" applyBorder="1" applyFill="1" applyFont="1">
      <alignment horizontal="center" shrinkToFit="0" vertical="center" wrapText="1"/>
    </xf>
    <xf borderId="2" fillId="4" fontId="3" numFmtId="164" xfId="0" applyAlignment="1" applyBorder="1" applyFill="1" applyFont="1" applyNumberFormat="1">
      <alignment horizontal="center" shrinkToFit="0" vertical="center" wrapText="1"/>
    </xf>
    <xf borderId="1" fillId="3" fontId="2" numFmtId="0" xfId="0" applyAlignment="1" applyBorder="1" applyFill="1" applyFont="1">
      <alignment horizontal="center" readingOrder="0" shrinkToFit="0" vertical="center" wrapText="1"/>
    </xf>
    <xf borderId="1" fillId="3" fontId="4" numFmtId="0" xfId="0" applyAlignment="1" applyBorder="1" applyFill="1" applyFont="1">
      <alignment horizontal="center" readingOrder="0" shrinkToFit="0" vertical="center" wrapText="1"/>
    </xf>
    <xf borderId="2" fillId="0" fontId="5" numFmtId="0" xfId="0" applyAlignment="1" applyBorder="1" applyFont="1">
      <alignment horizontal="center" shrinkToFit="0" vertical="top" wrapText="1"/>
    </xf>
    <xf borderId="2" fillId="0" fontId="5" numFmtId="0" xfId="0" applyAlignment="1" applyBorder="1" applyFont="1">
      <alignment shrinkToFit="0" vertical="top" wrapText="1"/>
    </xf>
    <xf borderId="2" fillId="0" fontId="5" numFmtId="164" xfId="0" applyAlignment="1" applyBorder="1" applyFont="1" applyNumberFormat="1">
      <alignment horizontal="center" shrinkToFit="0" vertical="top" wrapText="1"/>
    </xf>
    <xf borderId="0" fillId="0" fontId="6" numFmtId="0" xfId="0" applyFont="1"/>
  </cellXfs>
  <cellStyles count="1">
    <cellStyle xfId="0" name="Normal" builtinId="0"/>
  </cellStyles>
  <dxfs count="9">
    <dxf>
      <font/>
      <fill>
        <patternFill patternType="none"/>
      </fill>
      <border/>
    </dxf>
    <dxf>
      <font/>
      <fill>
        <patternFill patternType="solid">
          <fgColor rgb="FF156082"/>
          <bgColor rgb="FF156082"/>
        </patternFill>
      </fill>
      <border/>
    </dxf>
    <dxf>
      <font/>
      <fill>
        <patternFill patternType="solid">
          <fgColor rgb="FFC1E4F5"/>
          <bgColor rgb="FFC1E4F5"/>
        </patternFill>
      </fill>
      <border/>
    </dxf>
    <dxf>
      <font/>
      <fill>
        <patternFill patternType="solid">
          <fgColor rgb="FFFFFFFF"/>
          <bgColor rgb="FFFFFFFF"/>
        </patternFill>
      </fill>
      <border/>
    </dxf>
    <dxf>
      <border>
        <left style="thin">
          <color rgb="FF156082"/>
        </left>
        <right style="thin">
          <color rgb="FF156082"/>
        </right>
        <top style="thin">
          <color rgb="FF156082"/>
        </top>
        <bottom style="thin">
          <color rgb="FF156082"/>
        </bottom>
        <vertical style="thin">
          <color rgb="FFD4D4D4"/>
        </vertical>
        <horizontal style="thin">
          <color rgb="FFD4D4D4"/>
        </horizontal>
      </border>
    </dxf>
    <dxf>
      <font>
        <b/>
        <color rgb="FF9C0006"/>
      </font>
      <fill>
        <patternFill patternType="solid">
          <fgColor rgb="FFFCE4D6"/>
          <bgColor rgb="FFFCE4D6"/>
        </patternFill>
      </fill>
      <border/>
    </dxf>
    <dxf>
      <font>
        <b/>
        <color rgb="FF9C6500"/>
      </font>
      <fill>
        <patternFill patternType="solid">
          <fgColor rgb="FFFFF2CC"/>
          <bgColor rgb="FFFFF2CC"/>
        </patternFill>
      </fill>
      <border/>
    </dxf>
    <dxf>
      <font>
        <b/>
        <color rgb="FF203864"/>
      </font>
      <fill>
        <patternFill patternType="solid">
          <fgColor rgb="FFEEF4FB"/>
          <bgColor rgb="FFEEF4FB"/>
        </patternFill>
      </fill>
      <border/>
    </dxf>
    <dxf>
      <font>
        <b/>
        <color rgb="FF256029"/>
      </font>
      <fill>
        <patternFill patternType="solid">
          <fgColor rgb="FFE2F0D9"/>
          <bgColor rgb="FFE2F0D9"/>
        </patternFill>
      </fill>
      <border/>
    </dxf>
  </dxfs>
  <tableStyles count="1">
    <tableStyle count="4" pivot="0" name="Defect Report-style">
      <tableStyleElement dxfId="1" type="headerRow"/>
      <tableStyleElement dxfId="2" type="firstRowStripe"/>
      <tableStyleElement dxfId="3" type="secondRowStripe"/>
      <tableStyleElement dxfId="4" size="0" type="wholeTabl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9:N13" displayName="DefectReportTable" name="DefectReportTable" id="1">
  <tableColumns count="14">
    <tableColumn name="Bug ID" id="1"/>
    <tableColumn name="Requirement ID" id="2"/>
    <tableColumn name="Test Case ID" id="3"/>
    <tableColumn name="Module" id="4"/>
    <tableColumn name="Description / Summary" id="5"/>
    <tableColumn name="Steps to Reproduce" id="6"/>
    <tableColumn name="Expected Result" id="7"/>
    <tableColumn name="Actual Result" id="8"/>
    <tableColumn name="Severity" id="9"/>
    <tableColumn name="Priority" id="10"/>
    <tableColumn name="Bug Status" id="11"/>
    <tableColumn name="Assigned To" id="12"/>
    <tableColumn name="Reported By" id="13"/>
    <tableColumn name="Reported Date" id="14"/>
  </tableColumns>
  <tableStyleInfo name="Defect Report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Relationship Id="rId3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C00000"/>
    <pageSetUpPr/>
  </sheetPr>
  <sheetViews>
    <sheetView showGridLines="0" workbookViewId="0">
      <pane ySplit="9.0" topLeftCell="A10" activePane="bottomLeft" state="frozen"/>
      <selection activeCell="B11" sqref="B11" pane="bottomLeft"/>
    </sheetView>
  </sheetViews>
  <sheetFormatPr customHeight="1" defaultColWidth="12.63" defaultRowHeight="15.0"/>
  <cols>
    <col customWidth="1" min="1" max="1" width="11.63"/>
    <col customWidth="1" min="2" max="2" width="16.25"/>
    <col customWidth="1" min="3" max="3" width="12.25"/>
    <col customWidth="1" min="4" max="4" width="13.88"/>
    <col customWidth="1" min="5" max="5" width="26.13"/>
    <col customWidth="1" min="6" max="6" width="34.5"/>
    <col customWidth="1" min="7" max="8" width="28.88"/>
    <col customWidth="1" min="9" max="9" width="9.5"/>
    <col customWidth="1" min="10" max="10" width="7.75"/>
    <col customWidth="1" min="11" max="11" width="13.88"/>
    <col customWidth="1" min="12" max="12" width="16.63"/>
    <col customWidth="1" min="13" max="13" width="13.38"/>
    <col customWidth="1" min="14" max="14" width="11.63"/>
    <col customWidth="1" min="15" max="26" width="8.63"/>
  </cols>
  <sheetData>
    <row r="1" ht="22.5" customHeight="1">
      <c r="A1" s="1" t="s">
        <v>0</v>
      </c>
    </row>
    <row r="3">
      <c r="A3" s="2" t="s">
        <v>1</v>
      </c>
      <c r="B3" s="3">
        <f>COUNTA(A10:A100)</f>
        <v>4</v>
      </c>
      <c r="D3" s="2" t="s">
        <v>2</v>
      </c>
      <c r="E3" s="4">
        <v>46290.0</v>
      </c>
      <c r="G3" s="2" t="s">
        <v>3</v>
      </c>
      <c r="H3" s="3">
        <f>COUNTIF(M12:M102,"P0")</f>
        <v>0</v>
      </c>
    </row>
    <row r="4">
      <c r="A4" s="2" t="s">
        <v>4</v>
      </c>
      <c r="B4" s="3">
        <f>COUNTIFS(A10:A100,"&lt;&gt;",K10:K100,"&lt;&gt;Closed")</f>
        <v>3</v>
      </c>
      <c r="D4" s="2" t="s">
        <v>5</v>
      </c>
      <c r="E4" s="3">
        <f>COUNTIF(K10:K100,"Closed")</f>
        <v>1</v>
      </c>
      <c r="G4" s="2" t="s">
        <v>6</v>
      </c>
      <c r="H4" s="3">
        <f>COUNTIF(J8:J98,"P1")</f>
        <v>2</v>
      </c>
    </row>
    <row r="5">
      <c r="A5" s="2" t="s">
        <v>7</v>
      </c>
      <c r="B5" s="3" t="s">
        <v>8</v>
      </c>
      <c r="D5" s="2" t="s">
        <v>9</v>
      </c>
      <c r="E5" s="3" t="s">
        <v>10</v>
      </c>
      <c r="G5" s="5" t="s">
        <v>11</v>
      </c>
      <c r="H5" s="3">
        <f>COUNTIF(J10:J100,"P2")</f>
        <v>1</v>
      </c>
    </row>
    <row r="9">
      <c r="A9" s="6" t="s">
        <v>12</v>
      </c>
      <c r="B9" s="6" t="s">
        <v>13</v>
      </c>
      <c r="C9" s="6" t="s">
        <v>14</v>
      </c>
      <c r="D9" s="6" t="s">
        <v>15</v>
      </c>
      <c r="E9" s="6" t="s">
        <v>16</v>
      </c>
      <c r="F9" s="6" t="s">
        <v>17</v>
      </c>
      <c r="G9" s="6" t="s">
        <v>18</v>
      </c>
      <c r="H9" s="6" t="s">
        <v>19</v>
      </c>
      <c r="I9" s="6" t="s">
        <v>20</v>
      </c>
      <c r="J9" s="6" t="s">
        <v>21</v>
      </c>
      <c r="K9" s="6" t="s">
        <v>22</v>
      </c>
      <c r="L9" s="6" t="s">
        <v>23</v>
      </c>
      <c r="M9" s="6" t="s">
        <v>9</v>
      </c>
      <c r="N9" s="6" t="s">
        <v>24</v>
      </c>
    </row>
    <row r="10" ht="97.5" customHeight="1">
      <c r="A10" s="7" t="s">
        <v>25</v>
      </c>
      <c r="B10" s="7" t="s">
        <v>26</v>
      </c>
      <c r="C10" s="7" t="s">
        <v>27</v>
      </c>
      <c r="D10" s="7" t="s">
        <v>28</v>
      </c>
      <c r="E10" s="8" t="s">
        <v>29</v>
      </c>
      <c r="F10" s="8" t="s">
        <v>30</v>
      </c>
      <c r="G10" s="8" t="s">
        <v>31</v>
      </c>
      <c r="H10" s="8" t="s">
        <v>32</v>
      </c>
      <c r="I10" s="7" t="s">
        <v>33</v>
      </c>
      <c r="J10" s="7" t="s">
        <v>34</v>
      </c>
      <c r="K10" s="7" t="s">
        <v>35</v>
      </c>
      <c r="L10" s="7" t="s">
        <v>36</v>
      </c>
      <c r="M10" s="7" t="s">
        <v>10</v>
      </c>
      <c r="N10" s="9">
        <v>46290.0</v>
      </c>
    </row>
    <row r="11" ht="97.5" customHeight="1">
      <c r="A11" s="7" t="s">
        <v>37</v>
      </c>
      <c r="B11" s="7" t="s">
        <v>38</v>
      </c>
      <c r="C11" s="7" t="s">
        <v>39</v>
      </c>
      <c r="D11" s="7" t="s">
        <v>40</v>
      </c>
      <c r="E11" s="8" t="s">
        <v>41</v>
      </c>
      <c r="F11" s="8" t="s">
        <v>42</v>
      </c>
      <c r="G11" s="8" t="s">
        <v>43</v>
      </c>
      <c r="H11" s="8" t="s">
        <v>44</v>
      </c>
      <c r="I11" s="7" t="s">
        <v>45</v>
      </c>
      <c r="J11" s="7" t="s">
        <v>46</v>
      </c>
      <c r="K11" s="7" t="s">
        <v>47</v>
      </c>
      <c r="L11" s="7" t="s">
        <v>48</v>
      </c>
      <c r="M11" s="7" t="s">
        <v>10</v>
      </c>
      <c r="N11" s="9">
        <v>46290.0</v>
      </c>
    </row>
    <row r="12" ht="97.5" customHeight="1">
      <c r="A12" s="7" t="s">
        <v>49</v>
      </c>
      <c r="B12" s="7" t="s">
        <v>50</v>
      </c>
      <c r="C12" s="7" t="s">
        <v>51</v>
      </c>
      <c r="D12" s="7" t="s">
        <v>52</v>
      </c>
      <c r="E12" s="8" t="s">
        <v>53</v>
      </c>
      <c r="F12" s="8" t="s">
        <v>54</v>
      </c>
      <c r="G12" s="8" t="s">
        <v>55</v>
      </c>
      <c r="H12" s="8" t="s">
        <v>56</v>
      </c>
      <c r="I12" s="7" t="s">
        <v>57</v>
      </c>
      <c r="J12" s="7" t="s">
        <v>58</v>
      </c>
      <c r="K12" s="7" t="s">
        <v>59</v>
      </c>
      <c r="L12" s="7" t="s">
        <v>60</v>
      </c>
      <c r="M12" s="7" t="s">
        <v>10</v>
      </c>
      <c r="N12" s="9">
        <v>46290.0</v>
      </c>
    </row>
    <row r="13" ht="97.5" customHeight="1">
      <c r="A13" s="7" t="s">
        <v>61</v>
      </c>
      <c r="B13" s="7" t="s">
        <v>62</v>
      </c>
      <c r="C13" s="7" t="s">
        <v>63</v>
      </c>
      <c r="D13" s="7" t="s">
        <v>64</v>
      </c>
      <c r="E13" s="8" t="s">
        <v>65</v>
      </c>
      <c r="F13" s="8" t="s">
        <v>66</v>
      </c>
      <c r="G13" s="8" t="s">
        <v>67</v>
      </c>
      <c r="H13" s="8" t="s">
        <v>68</v>
      </c>
      <c r="I13" s="7" t="s">
        <v>33</v>
      </c>
      <c r="J13" s="7" t="s">
        <v>34</v>
      </c>
      <c r="K13" s="7" t="s">
        <v>69</v>
      </c>
      <c r="L13" s="7" t="s">
        <v>60</v>
      </c>
      <c r="M13" s="7" t="s">
        <v>10</v>
      </c>
      <c r="N13" s="9">
        <v>46290.0</v>
      </c>
    </row>
    <row r="14">
      <c r="J14" s="10"/>
      <c r="K14" s="10"/>
    </row>
    <row r="15">
      <c r="J15" s="10"/>
      <c r="K15" s="10"/>
    </row>
    <row r="16">
      <c r="J16" s="10"/>
      <c r="K16" s="10"/>
    </row>
    <row r="17">
      <c r="J17" s="10"/>
      <c r="K17" s="10"/>
    </row>
    <row r="18">
      <c r="J18" s="10"/>
      <c r="K18" s="10"/>
    </row>
    <row r="19">
      <c r="J19" s="10"/>
      <c r="K19" s="10"/>
    </row>
    <row r="20">
      <c r="J20" s="10"/>
      <c r="K20" s="10"/>
    </row>
    <row r="21" ht="15.75" customHeight="1">
      <c r="J21" s="10"/>
      <c r="K21" s="10"/>
    </row>
    <row r="22" ht="15.75" customHeight="1">
      <c r="J22" s="10"/>
      <c r="K22" s="10"/>
    </row>
    <row r="23" ht="15.75" customHeight="1">
      <c r="J23" s="10"/>
      <c r="K23" s="10"/>
    </row>
    <row r="24" ht="15.75" customHeight="1">
      <c r="J24" s="10"/>
      <c r="K24" s="10"/>
    </row>
    <row r="25" ht="15.75" customHeight="1">
      <c r="J25" s="10"/>
      <c r="K25" s="10"/>
    </row>
    <row r="26" ht="15.75" customHeight="1">
      <c r="J26" s="10"/>
      <c r="K26" s="10"/>
    </row>
    <row r="27" ht="15.75" customHeight="1">
      <c r="J27" s="10"/>
      <c r="K27" s="10"/>
    </row>
    <row r="28" ht="15.75" customHeight="1">
      <c r="J28" s="10"/>
      <c r="K28" s="10"/>
    </row>
    <row r="29" ht="15.75" customHeight="1">
      <c r="J29" s="10"/>
      <c r="K29" s="10"/>
    </row>
    <row r="30" ht="15.75" customHeight="1">
      <c r="J30" s="10"/>
      <c r="K30" s="10"/>
    </row>
    <row r="31" ht="15.75" customHeight="1">
      <c r="J31" s="10"/>
      <c r="K31" s="10"/>
    </row>
    <row r="32" ht="15.75" customHeight="1">
      <c r="J32" s="10"/>
      <c r="K32" s="10"/>
    </row>
    <row r="33" ht="15.75" customHeight="1">
      <c r="J33" s="10"/>
      <c r="K33" s="10"/>
    </row>
    <row r="34" ht="15.75" customHeight="1">
      <c r="J34" s="10"/>
      <c r="K34" s="10"/>
    </row>
    <row r="35" ht="15.75" customHeight="1">
      <c r="J35" s="10"/>
      <c r="K35" s="10"/>
    </row>
    <row r="36" ht="15.75" customHeight="1">
      <c r="J36" s="10"/>
      <c r="K36" s="10"/>
    </row>
    <row r="37" ht="15.75" customHeight="1">
      <c r="J37" s="10"/>
      <c r="K37" s="10"/>
    </row>
    <row r="38" ht="15.75" customHeight="1">
      <c r="J38" s="10"/>
      <c r="K38" s="10"/>
    </row>
    <row r="39" ht="15.75" customHeight="1">
      <c r="J39" s="10"/>
      <c r="K39" s="10"/>
    </row>
    <row r="40" ht="15.75" customHeight="1">
      <c r="J40" s="10"/>
      <c r="K40" s="10"/>
    </row>
    <row r="41" ht="15.75" customHeight="1">
      <c r="J41" s="10"/>
      <c r="K41" s="10"/>
    </row>
    <row r="42" ht="15.75" customHeight="1">
      <c r="J42" s="10"/>
      <c r="K42" s="10"/>
    </row>
    <row r="43" ht="15.75" customHeight="1">
      <c r="J43" s="10"/>
      <c r="K43" s="10"/>
    </row>
    <row r="44" ht="15.75" customHeight="1">
      <c r="J44" s="10"/>
      <c r="K44" s="10"/>
    </row>
    <row r="45" ht="15.75" customHeight="1">
      <c r="J45" s="10"/>
      <c r="K45" s="10"/>
    </row>
    <row r="46" ht="15.75" customHeight="1">
      <c r="J46" s="10"/>
      <c r="K46" s="10"/>
    </row>
    <row r="47" ht="15.75" customHeight="1">
      <c r="J47" s="10"/>
      <c r="K47" s="10"/>
    </row>
    <row r="48" ht="15.75" customHeight="1">
      <c r="J48" s="10"/>
      <c r="K48" s="10"/>
    </row>
    <row r="49" ht="15.75" customHeight="1">
      <c r="J49" s="10"/>
      <c r="K49" s="10"/>
    </row>
    <row r="50" ht="15.75" customHeight="1">
      <c r="J50" s="10"/>
      <c r="K50" s="10"/>
    </row>
    <row r="51" ht="15.75" customHeight="1">
      <c r="J51" s="10"/>
      <c r="K51" s="10"/>
    </row>
    <row r="52" ht="15.75" customHeight="1">
      <c r="J52" s="10"/>
      <c r="K52" s="10"/>
    </row>
    <row r="53" ht="15.75" customHeight="1">
      <c r="J53" s="10"/>
      <c r="K53" s="10"/>
    </row>
    <row r="54" ht="15.75" customHeight="1">
      <c r="J54" s="10"/>
      <c r="K54" s="10"/>
    </row>
    <row r="55" ht="15.75" customHeight="1">
      <c r="J55" s="10"/>
      <c r="K55" s="10"/>
    </row>
    <row r="56" ht="15.75" customHeight="1">
      <c r="J56" s="10"/>
      <c r="K56" s="10"/>
    </row>
    <row r="57" ht="15.75" customHeight="1">
      <c r="J57" s="10"/>
      <c r="K57" s="10"/>
    </row>
    <row r="58" ht="15.75" customHeight="1">
      <c r="J58" s="10"/>
      <c r="K58" s="10"/>
    </row>
    <row r="59" ht="15.75" customHeight="1">
      <c r="J59" s="10"/>
      <c r="K59" s="10"/>
    </row>
    <row r="60" ht="15.75" customHeight="1">
      <c r="J60" s="10"/>
      <c r="K60" s="10"/>
    </row>
    <row r="61" ht="15.75" customHeight="1">
      <c r="J61" s="10"/>
      <c r="K61" s="10"/>
    </row>
    <row r="62" ht="15.75" customHeight="1">
      <c r="J62" s="10"/>
      <c r="K62" s="10"/>
    </row>
    <row r="63" ht="15.75" customHeight="1">
      <c r="J63" s="10"/>
      <c r="K63" s="10"/>
    </row>
    <row r="64" ht="15.75" customHeight="1">
      <c r="J64" s="10"/>
      <c r="K64" s="10"/>
    </row>
    <row r="65" ht="15.75" customHeight="1">
      <c r="J65" s="10"/>
      <c r="K65" s="10"/>
    </row>
    <row r="66" ht="15.75" customHeight="1">
      <c r="J66" s="10"/>
      <c r="K66" s="10"/>
    </row>
    <row r="67" ht="15.75" customHeight="1">
      <c r="J67" s="10"/>
      <c r="K67" s="10"/>
    </row>
    <row r="68" ht="15.75" customHeight="1">
      <c r="J68" s="10"/>
      <c r="K68" s="10"/>
    </row>
    <row r="69" ht="15.75" customHeight="1">
      <c r="J69" s="10"/>
      <c r="K69" s="10"/>
    </row>
    <row r="70" ht="15.75" customHeight="1">
      <c r="J70" s="10"/>
      <c r="K70" s="10"/>
    </row>
    <row r="71" ht="15.75" customHeight="1">
      <c r="J71" s="10"/>
      <c r="K71" s="10"/>
    </row>
    <row r="72" ht="15.75" customHeight="1">
      <c r="J72" s="10"/>
      <c r="K72" s="10"/>
    </row>
    <row r="73" ht="15.75" customHeight="1">
      <c r="J73" s="10"/>
      <c r="K73" s="10"/>
    </row>
    <row r="74" ht="15.75" customHeight="1">
      <c r="J74" s="10"/>
      <c r="K74" s="10"/>
    </row>
    <row r="75" ht="15.75" customHeight="1">
      <c r="J75" s="10"/>
      <c r="K75" s="10"/>
    </row>
    <row r="76" ht="15.75" customHeight="1">
      <c r="J76" s="10"/>
      <c r="K76" s="10"/>
    </row>
    <row r="77" ht="15.75" customHeight="1">
      <c r="J77" s="10"/>
      <c r="K77" s="10"/>
    </row>
    <row r="78" ht="15.75" customHeight="1">
      <c r="J78" s="10"/>
      <c r="K78" s="10"/>
    </row>
    <row r="79" ht="15.75" customHeight="1">
      <c r="J79" s="10"/>
      <c r="K79" s="10"/>
    </row>
    <row r="80" ht="15.75" customHeight="1">
      <c r="J80" s="10"/>
      <c r="K80" s="10"/>
    </row>
    <row r="81" ht="15.75" customHeight="1">
      <c r="J81" s="10"/>
      <c r="K81" s="10"/>
    </row>
    <row r="82" ht="15.75" customHeight="1">
      <c r="J82" s="10"/>
      <c r="K82" s="10"/>
    </row>
    <row r="83" ht="15.75" customHeight="1">
      <c r="J83" s="10"/>
      <c r="K83" s="10"/>
    </row>
    <row r="84" ht="15.75" customHeight="1">
      <c r="J84" s="10"/>
      <c r="K84" s="10"/>
    </row>
    <row r="85" ht="15.75" customHeight="1">
      <c r="J85" s="10"/>
      <c r="K85" s="10"/>
    </row>
    <row r="86" ht="15.75" customHeight="1">
      <c r="J86" s="10"/>
      <c r="K86" s="10"/>
    </row>
    <row r="87" ht="15.75" customHeight="1">
      <c r="J87" s="10"/>
      <c r="K87" s="10"/>
    </row>
    <row r="88" ht="15.75" customHeight="1">
      <c r="J88" s="10"/>
      <c r="K88" s="10"/>
    </row>
    <row r="89" ht="15.75" customHeight="1">
      <c r="J89" s="10"/>
      <c r="K89" s="10"/>
    </row>
    <row r="90" ht="15.75" customHeight="1">
      <c r="J90" s="10"/>
      <c r="K90" s="10"/>
    </row>
    <row r="91" ht="15.75" customHeight="1">
      <c r="J91" s="10"/>
      <c r="K91" s="10"/>
    </row>
    <row r="92" ht="15.75" customHeight="1">
      <c r="J92" s="10"/>
      <c r="K92" s="10"/>
    </row>
    <row r="93" ht="15.75" customHeight="1">
      <c r="J93" s="10"/>
      <c r="K93" s="10"/>
    </row>
    <row r="94" ht="15.75" customHeight="1">
      <c r="J94" s="10"/>
      <c r="K94" s="10"/>
    </row>
    <row r="95" ht="15.75" customHeight="1">
      <c r="J95" s="10"/>
      <c r="K95" s="10"/>
    </row>
    <row r="96" ht="15.75" customHeight="1">
      <c r="J96" s="10"/>
      <c r="K96" s="10"/>
    </row>
    <row r="97" ht="15.75" customHeight="1">
      <c r="J97" s="10"/>
      <c r="K97" s="10"/>
    </row>
    <row r="98" ht="15.75" customHeight="1">
      <c r="J98" s="10"/>
      <c r="K98" s="10"/>
    </row>
    <row r="99" ht="15.75" customHeight="1">
      <c r="J99" s="10"/>
      <c r="K99" s="10"/>
    </row>
    <row r="100" ht="15.75" customHeight="1">
      <c r="J100" s="10"/>
      <c r="K100" s="10"/>
    </row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N1"/>
  </mergeCells>
  <conditionalFormatting sqref="J10:J13">
    <cfRule type="containsText" dxfId="5" priority="1" operator="containsText" text="P0">
      <formula>NOT(ISERROR(SEARCH(("P0"),(J10))))</formula>
    </cfRule>
  </conditionalFormatting>
  <conditionalFormatting sqref="J10:J13">
    <cfRule type="containsText" dxfId="6" priority="2" operator="containsText" text="P1">
      <formula>NOT(ISERROR(SEARCH(("P1"),(J10))))</formula>
    </cfRule>
  </conditionalFormatting>
  <conditionalFormatting sqref="J10:J13">
    <cfRule type="containsText" dxfId="7" priority="3" operator="containsText" text="P2">
      <formula>NOT(ISERROR(SEARCH(("P2"),(J10))))</formula>
    </cfRule>
  </conditionalFormatting>
  <conditionalFormatting sqref="K10:K13">
    <cfRule type="containsText" dxfId="8" priority="4" operator="containsText" text="Closed">
      <formula>NOT(ISERROR(SEARCH(("Closed"),(K10))))</formula>
    </cfRule>
  </conditionalFormatting>
  <conditionalFormatting sqref="K10:K13">
    <cfRule type="containsText" dxfId="5" priority="5" operator="containsText" text="Opened">
      <formula>NOT(ISERROR(SEARCH(("Opened"),(K10))))</formula>
    </cfRule>
  </conditionalFormatting>
  <conditionalFormatting sqref="K10:K13">
    <cfRule type="containsText" dxfId="6" priority="6" operator="containsText" text="Assigned">
      <formula>NOT(ISERROR(SEARCH(("Assigned"),(K10))))</formula>
    </cfRule>
  </conditionalFormatting>
  <conditionalFormatting sqref="K10:K13">
    <cfRule type="containsText" dxfId="7" priority="7" operator="containsText" text="Ready for Re-Test">
      <formula>NOT(ISERROR(SEARCH(("Ready for Re-Test"),(K10))))</formula>
    </cfRule>
  </conditionalFormatting>
  <dataValidations>
    <dataValidation type="list" allowBlank="1" sqref="K10:K100">
      <formula1>"Opened,Assigned,Ready for Re-Test,Closed"</formula1>
    </dataValidation>
    <dataValidation type="list" allowBlank="1" sqref="J10:J100">
      <formula1>"P0,P1,P2"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