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7.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Test Scenarios" sheetId="1" r:id="rId4"/>
    <sheet state="visible" name="Food Catalog" sheetId="2" r:id="rId5"/>
    <sheet state="visible" name="Cart" sheetId="3" r:id="rId6"/>
    <sheet state="visible" name="Checkout" sheetId="4" r:id="rId7"/>
    <sheet state="visible" name="Payment Gateway" sheetId="5" r:id="rId8"/>
    <sheet state="visible" name="Receipt" sheetId="6" r:id="rId9"/>
    <sheet state="visible" name="Non-Functional" sheetId="7" r:id="rId10"/>
    <sheet state="visible" name="RTM" sheetId="8" r:id="rId11"/>
  </sheets>
  <definedNames/>
  <calcPr/>
  <extLst>
    <ext uri="GoogleSheetsCustomDataVersion2">
      <go:sheetsCustomData xmlns:go="http://customooxmlschemas.google.com/" r:id="rId12" roundtripDataChecksum="CA8CC3gol3akm4J7ZL4yTqfQDDtbAzB3dBc4SM6Heh0="/>
    </ext>
  </extLst>
</workbook>
</file>

<file path=xl/sharedStrings.xml><?xml version="1.0" encoding="utf-8"?>
<sst xmlns="http://schemas.openxmlformats.org/spreadsheetml/2006/main" count="955" uniqueCount="418">
  <si>
    <t>Test Case ID</t>
  </si>
  <si>
    <t>Project Name</t>
  </si>
  <si>
    <t>Coffee Kiosk POS - Customer Frontend</t>
  </si>
  <si>
    <t>Test Scenario</t>
  </si>
  <si>
    <t>Client</t>
  </si>
  <si>
    <t>Test Case Title</t>
  </si>
  <si>
    <t>Coffee Kiosk</t>
  </si>
  <si>
    <t>Reference Documents</t>
  </si>
  <si>
    <t>FRS v1.0; Test Plan v1.0; Test Estimation Report v1.0</t>
  </si>
  <si>
    <t>Pre-requisites</t>
  </si>
  <si>
    <t>Created By</t>
  </si>
  <si>
    <t>Kushagra Sinha</t>
  </si>
  <si>
    <t>Creation Date</t>
  </si>
  <si>
    <t>Test Steps</t>
  </si>
  <si>
    <t>Test Data</t>
  </si>
  <si>
    <t>Approval Date</t>
  </si>
  <si>
    <t>Expected Result (ER)</t>
  </si>
  <si>
    <t>Test Scenario ID</t>
  </si>
  <si>
    <t>Actual Result (AR)</t>
  </si>
  <si>
    <t>Priority</t>
  </si>
  <si>
    <t>Result</t>
  </si>
  <si>
    <t>Reference</t>
  </si>
  <si>
    <t>Comments (Bug/Defect ID)</t>
  </si>
  <si>
    <t>TC_CAT_001</t>
  </si>
  <si>
    <t>Feature / Module</t>
  </si>
  <si>
    <t>TC_CHK_001</t>
  </si>
  <si>
    <t>Test Scenario Description</t>
  </si>
  <si>
    <t>TS-CAT-01
Validate menu presentation, item information, category navigation, and cart access.</t>
  </si>
  <si>
    <t>TS-CHK-01
Validate locked order review, order type, payment choice, and checkout readiness.</t>
  </si>
  <si>
    <t>Verify menu categories at customer-session start</t>
  </si>
  <si>
    <t>Verify the final order is locked at checkout</t>
  </si>
  <si>
    <t>Number of Test Cases</t>
  </si>
  <si>
    <t>QA build and configured menu service are available.</t>
  </si>
  <si>
    <t>Cart contains Café Latte and Paneer Melt; checkout services are available.</t>
  </si>
  <si>
    <t>1. Launch the kiosk QA build.
2. Start a new customer order.
3. Observe the first menu screen and category list.</t>
  </si>
  <si>
    <t>1. Add two items and enter checkout.
2. Review the final-order list.
3. Attempt to edit quantity on checkout.
4. Use Back to Cart and verify editing is available there.</t>
  </si>
  <si>
    <t>TS-CAT-01</t>
  </si>
  <si>
    <t>Configured categories: Popular, Hot Coffee, Cold Coffee, Tea, Quick Bites, Desserts</t>
  </si>
  <si>
    <t>Café Latte and Paneer Melt</t>
  </si>
  <si>
    <t>The system shall open the customer session on a menu screen that shows the available item categories.</t>
  </si>
  <si>
    <t>FRS v1.0</t>
  </si>
  <si>
    <t>The checkout screen shall show a locked final order list; item and quantity changes shall be made by returning to the cart.</t>
  </si>
  <si>
    <t>Observed behaviour matched the expected result.</t>
  </si>
  <si>
    <t>Food Catalog</t>
  </si>
  <si>
    <t>P0</t>
  </si>
  <si>
    <t>Validate menu presentation, item information, category navigation, and cart access.</t>
  </si>
  <si>
    <t>TC_CART_001</t>
  </si>
  <si>
    <t>Pass</t>
  </si>
  <si>
    <t>TS-CART-01
Validate cart item details, quantity changes, and item removal.</t>
  </si>
  <si>
    <t>TC_CAT_002</t>
  </si>
  <si>
    <t>TS-CAT-02</t>
  </si>
  <si>
    <t>TC_CHK_002</t>
  </si>
  <si>
    <t>Verify selected item details in the cart</t>
  </si>
  <si>
    <t>Verify menu item information</t>
  </si>
  <si>
    <t>TS-CHK-02
Validate totals, coupon outcomes, and recalculation after returning to the cart.</t>
  </si>
  <si>
    <t>Customer session is active and required menu items are available.</t>
  </si>
  <si>
    <t>Verify checkout amount breakdown</t>
  </si>
  <si>
    <t>1. Add two items with configured options.
2. Open the cart.
3. Compare item names, options, quantities, and line amounts with the selections.</t>
  </si>
  <si>
    <t>1. Open each configured menu category.
2. Inspect representative food and beverage items.
3. Compare displayed details with configured menu data.</t>
  </si>
  <si>
    <t>Validate item availability, required choices, and add-to-cart feedback.</t>
  </si>
  <si>
    <t>Café Latte - Regular/Hot; Paneer Melt - No onions</t>
  </si>
  <si>
    <t>Café Latte ₹220; Paneer Melt ₹260; item images and descriptions</t>
  </si>
  <si>
    <t>1. Enter checkout with two items.
2. Apply a valid coupon.
3. Compare subtotal, tax, discount, and amount payable with expected calculations.</t>
  </si>
  <si>
    <t>The system shall show each menu item with its name, image, short description, and current price.</t>
  </si>
  <si>
    <t>The cart shall list every selected item with its chosen options, quantity, and line amount.</t>
  </si>
  <si>
    <t>Subtotal ₹480; tax ₹40; BREW10 discount ₹52; payable ₹468</t>
  </si>
  <si>
    <t>TS-CART-01</t>
  </si>
  <si>
    <t>The checkout screen shall show the item subtotal, taxes, coupon discount when applicable, and final amount to be paid.</t>
  </si>
  <si>
    <t>Cart</t>
  </si>
  <si>
    <t>Validate cart item details, quantity changes, and item removal.</t>
  </si>
  <si>
    <t>TC_CAT_003</t>
  </si>
  <si>
    <t>TS-CAT-02
Validate item availability, required choices, and add-to-cart feedback.</t>
  </si>
  <si>
    <t>TC_CART_002</t>
  </si>
  <si>
    <t>TS-CART-02</t>
  </si>
  <si>
    <t>Verify unavailable items cannot be added</t>
  </si>
  <si>
    <t>TC_CHK_003</t>
  </si>
  <si>
    <t>Verify quantity increase and decrease</t>
  </si>
  <si>
    <t>1. Open a category containing an unavailable item.
2. Confirm the unavailable state is visible.
3. Tap the unavailable item and its add control.
4. Review the cart.</t>
  </si>
  <si>
    <t>Tiramisu Slice - unavailable</t>
  </si>
  <si>
    <t>Verify exclusive order-type selection</t>
  </si>
  <si>
    <t>1. Add one Café Latte and open the cart.
2. Increase quantity to 2.
3. Decrease quantity to 1.
4. Observe quantity and totals after each action.</t>
  </si>
  <si>
    <t>The system shall clearly identify unavailable items and shall not allow them to be added to the cart.</t>
  </si>
  <si>
    <t>Validate cart calculations, empty-cart behaviour, and onward navigation.</t>
  </si>
  <si>
    <t>Café Latte ₹220</t>
  </si>
  <si>
    <t>The customer shall be able to increase or decrease an item's quantity using touch controls.</t>
  </si>
  <si>
    <t>1. Enter checkout.
2. Select Dine-in.
3. Select Takeaway.
4. Verify only the latest option remains selected.</t>
  </si>
  <si>
    <t>Order types: Dine-in, Takeaway</t>
  </si>
  <si>
    <t>TS-CHK-01</t>
  </si>
  <si>
    <t>The customer shall be required to select exactly one order type: Dine-in or Takeaway.</t>
  </si>
  <si>
    <t>Checkout</t>
  </si>
  <si>
    <t>TC_CAT_004</t>
  </si>
  <si>
    <t>Validate locked order review, order type, payment choice, and checkout readiness.</t>
  </si>
  <si>
    <t>TC_CART_003</t>
  </si>
  <si>
    <t>Verify category navigation preserves the cart</t>
  </si>
  <si>
    <t>TS-CHK-02</t>
  </si>
  <si>
    <t>1. Add Café Latte to the cart.
2. Move through at least three categories.
3. Return to the original category.
4. Open the cart.</t>
  </si>
  <si>
    <t>Verify item removal</t>
  </si>
  <si>
    <t>TC_CHK_004</t>
  </si>
  <si>
    <t>Café Latte, quantity 1</t>
  </si>
  <si>
    <t>The customer shall be able to switch between menu categories without losing items already added to the cart.</t>
  </si>
  <si>
    <t>1. Add Café Latte and Paneer Melt.
2. Open the cart.
3. Remove Paneer Melt.
4. Confirm only Café Latte remains.</t>
  </si>
  <si>
    <t>Verify optional coupon entry and validation</t>
  </si>
  <si>
    <t>Validate totals, coupon outcomes, and recalculation after returning to the cart.</t>
  </si>
  <si>
    <t>Two-item cart</t>
  </si>
  <si>
    <t>P1</t>
  </si>
  <si>
    <t>The customer shall be able to remove an item from the cart.</t>
  </si>
  <si>
    <t>1. Enter checkout without a coupon.
2. Confirm checkout can continue.
3. Enter BREW10 and tap Apply.
4. Observe the validation result.</t>
  </si>
  <si>
    <t>Valid coupon: BREW10</t>
  </si>
  <si>
    <t>TS-PAY-01</t>
  </si>
  <si>
    <t>The customer shall be able to enter an optional store coupon code and request validation.</t>
  </si>
  <si>
    <t>TC_CAT_005</t>
  </si>
  <si>
    <t>Payment Gateway</t>
  </si>
  <si>
    <t>Verify required item choices</t>
  </si>
  <si>
    <t>TC_CART_004</t>
  </si>
  <si>
    <t>TS-CART-02
Validate cart calculations, empty-cart behaviour, and onward navigation.</t>
  </si>
  <si>
    <t>Verify cart recalculation</t>
  </si>
  <si>
    <t>Validate UPI/Card options, gateway context, and payment-data handling.</t>
  </si>
  <si>
    <t>1. Open an item with mandatory choices.
2. Attempt to add it without selecting a choice.
3. Select all required choices.
4. Add the item and review the cart line.</t>
  </si>
  <si>
    <t>1. Open a cart containing Café Latte and Paneer Melt.
2. Record subtotal, tax, and total.
3. Change a quantity.
4. Verify all amounts recalculate correctly.</t>
  </si>
  <si>
    <t>Café Latte; sizes Regular/Large; serving Hot/Iced</t>
  </si>
  <si>
    <t>TC_CHK_005</t>
  </si>
  <si>
    <t>Café Latte ₹220; Paneer Melt ₹260; configured tax ₹40 for quantity 1 each</t>
  </si>
  <si>
    <t>TS-PAY-02</t>
  </si>
  <si>
    <t>When an item has required store-defined choices, such as size or serving option, the system shall require those choices before adding the item.</t>
  </si>
  <si>
    <t>The system shall recalculate the subtotal, applicable taxes, and total whenever the cart changes.</t>
  </si>
  <si>
    <t>Verify valid and invalid coupon outcomes</t>
  </si>
  <si>
    <t>Validate processing, verified success, failures, retries, and duplicate prevention.</t>
  </si>
  <si>
    <t>1. Apply BREW10 and record the discount.
2. Remove it and apply INVALID10.
3. Apply EXPIRED10.
4. Apply NOTAPPLICABLE.
5. Compare messages and payable totals.</t>
  </si>
  <si>
    <t>TC_CAT_006</t>
  </si>
  <si>
    <t>BREW10; INVALID10; EXPIRED10; NOTAPPLICABLE</t>
  </si>
  <si>
    <t>TC_CART_005</t>
  </si>
  <si>
    <t>TS-RCT-01</t>
  </si>
  <si>
    <t>For a valid coupon, the system shall show the applied discount and recalculate the payable amount. For an invalid, expired, or inapplicable coupon, it shall show a clear message and apply no discount.</t>
  </si>
  <si>
    <t>Verify add-to-cart feedback</t>
  </si>
  <si>
    <t>Verify continue-shopping and checkout navigation</t>
  </si>
  <si>
    <t>Receipt</t>
  </si>
  <si>
    <t>Valid and invalid codes behaved correctly, but expired coupon EXPIRED10 was accepted and reduced the payable amount by ₹52.</t>
  </si>
  <si>
    <t>Validate order confirmation and the itemised payment receipt.</t>
  </si>
  <si>
    <t>1. Note the current cart count and total.
2. Add an available Café Latte.
3. Observe the confirmation, cart count, and updated total.</t>
  </si>
  <si>
    <t>Café Latte ₹220, quantity 1</t>
  </si>
  <si>
    <t>1. Open a non-empty cart.
2. Tap Continue Shopping and verify menu navigation.
3. Return to the cart.
4. Tap Continue to Checkout.</t>
  </si>
  <si>
    <t>Fail</t>
  </si>
  <si>
    <t>The customer shall be able to add an available item to the cart and receive visible confirmation that the cart count and total have changed.</t>
  </si>
  <si>
    <t>TS-RCT-02</t>
  </si>
  <si>
    <t>Cart with one available item</t>
  </si>
  <si>
    <t>CK-BUG-001</t>
  </si>
  <si>
    <t>The cart shall provide options to continue browsing the menu or proceed to checkout.</t>
  </si>
  <si>
    <t>TC_CHK_006</t>
  </si>
  <si>
    <t>Validate emailed receipts and creation of a clean new customer session.</t>
  </si>
  <si>
    <t>Verify exclusive payment-method selection</t>
  </si>
  <si>
    <t>TC_CAT_007</t>
  </si>
  <si>
    <t>TS-NFR-01</t>
  </si>
  <si>
    <t>1. Enter checkout.
2. Select UPI.
3. Select Card.
4. Verify exactly one payment method remains selected.</t>
  </si>
  <si>
    <t>Verify cart access from the menu</t>
  </si>
  <si>
    <t>TC_CART_006</t>
  </si>
  <si>
    <t>Payment methods: UPI, Card</t>
  </si>
  <si>
    <t>Non-Functional</t>
  </si>
  <si>
    <t>1. Open the menu.
2. Move through different categories.
3. Confirm the cart shortcut remains visible.
4. Tap it and verify cart navigation.</t>
  </si>
  <si>
    <t>The customer shall be required to select exactly one payment method: UPI or Card.</t>
  </si>
  <si>
    <t>Validate session security, protected roles, approved integrations, and payment-data protection.</t>
  </si>
  <si>
    <t>Verify empty-cart behaviour</t>
  </si>
  <si>
    <t>Cart containing one item</t>
  </si>
  <si>
    <t>The menu screen shall provide a visible path to review the cart at any time.</t>
  </si>
  <si>
    <t>1. Remove all items from the cart.
2. Observe the empty-cart message.
3. Attempt to start checkout.</t>
  </si>
  <si>
    <t>TS-NFR-02</t>
  </si>
  <si>
    <t>Empty cart</t>
  </si>
  <si>
    <t>When the cart is empty, the system shall show an empty-cart message and shall not allow checkout to begin.</t>
  </si>
  <si>
    <t>Validate privacy of receipt email and previous-customer information.</t>
  </si>
  <si>
    <t>TC_CHK_007</t>
  </si>
  <si>
    <t>Verify checkout completion rules</t>
  </si>
  <si>
    <t>TS-NFR-03</t>
  </si>
  <si>
    <t>Validate touch usability, visible feedback, useful errors, and non-colour status cues.</t>
  </si>
  <si>
    <t>1. Enter checkout with required choices incomplete.
2. Verify Pay is unavailable.
3. Select order type and payment method.
4. Verify Pay becomes available and uses the displayed locked amount.</t>
  </si>
  <si>
    <t>Dine-in; UPI; amount ₹468</t>
  </si>
  <si>
    <t>The payment action shall use the locked order and displayed payable amount and shall remain unavailable until the required checkout choices are complete.</t>
  </si>
  <si>
    <t>TS-NFR-04</t>
  </si>
  <si>
    <t>Validate order-state reliability, error integrity, and approved kiosk compatibility.</t>
  </si>
  <si>
    <t>TS-NFR-05</t>
  </si>
  <si>
    <t>Validate visible processing states and prevention of repeated submissions.</t>
  </si>
  <si>
    <t>TC_CHK_008</t>
  </si>
  <si>
    <t>Verify recalculation after returning to the cart</t>
  </si>
  <si>
    <t>1. Record the checkout total.
2. Return to the cart and change quantity.
3. Re-enter checkout.
4. Verify the order and totals reflect the change.</t>
  </si>
  <si>
    <t>Increase Café Latte from 1 to 2</t>
  </si>
  <si>
    <t>Returning to the cart shall allow order changes, and the checkout totals shall be recalculated when the customer enters checkout again.</t>
  </si>
  <si>
    <t>TC_PAY_001</t>
  </si>
  <si>
    <t>TS-PAY-01
Validate UPI/Card options, gateway context, and payment-data handling.</t>
  </si>
  <si>
    <t>Verify navigation between UPI and Card</t>
  </si>
  <si>
    <t>Checkout is complete; payment sandbox is available; amount payable is ₹468.</t>
  </si>
  <si>
    <t>1. Continue from checkout to the payment gateway.
2. Select the UPI tab.
3. Select the Card tab.
4. Verify each method displays its relevant controls.</t>
  </si>
  <si>
    <t>UPI and Card tabs</t>
  </si>
  <si>
    <t>The payment-method screen shall allow the customer to navigate between UPI and Card payment options.</t>
  </si>
  <si>
    <t>TC_SEC_001</t>
  </si>
  <si>
    <t>TS-NFR-01
Validate session security, protected roles, approved integrations, and payment-data protection.</t>
  </si>
  <si>
    <t>Verify two-minute inactivity session clearing</t>
  </si>
  <si>
    <t>QA build, approved kiosk environment, and required test services are available.</t>
  </si>
  <si>
    <t>TC_PAY_002</t>
  </si>
  <si>
    <t>1. Add an item, apply a coupon, and enter a receipt email.
2. Return to a customer-controlled screen.
3. Provide no touch input for 2 continuous minutes.
4. Inspect the resulting screen and session data.</t>
  </si>
  <si>
    <t>TC_RCT_001</t>
  </si>
  <si>
    <t>TS-RCT-01
Validate order confirmation and the itemised payment receipt.</t>
  </si>
  <si>
    <t>Verify gateway merchant and order context</t>
  </si>
  <si>
    <t>Verify successful order confirmation</t>
  </si>
  <si>
    <t>A successful sandbox payment exists unless the case states otherwise; test inbox is available.</t>
  </si>
  <si>
    <t>1. Open the gateway for a prepared order.
2. Compare merchant name, order reference, and payable amount with checkout.</t>
  </si>
  <si>
    <t>1. Complete a successful payment.
2. Inspect the confirmation screen.
3. Compare order number, type, status, and payment method with the completed order.</t>
  </si>
  <si>
    <t>Coffee Kiosk; CK-260925-042; ₹468</t>
  </si>
  <si>
    <t>Cart item; BREW10; receipt.qa@example.com; idle time 2 minutes</t>
  </si>
  <si>
    <t>Order B042; Dine-in; Processing; UPI</t>
  </si>
  <si>
    <t>The payment screen shall display the merchant name, order reference, and exact amount to be paid.</t>
  </si>
  <si>
    <t>If no touch input is detected for 2 continuous minutes on customer-controlled screens, the system shall clear the local session, including cart items, coupon data, and entered email, and return to the menu. An active payment-result check shall not be interrupted as an idle session.</t>
  </si>
  <si>
    <t>After successful payment, the system shall show an order-confirmation screen with the order number, order type, initial order status, and payment method.</t>
  </si>
  <si>
    <t>After 2 minutes without touch input, the cart and applied coupon remained in the session.</t>
  </si>
  <si>
    <t>CK-BUG-004</t>
  </si>
  <si>
    <t>TC_PAY_003</t>
  </si>
  <si>
    <t>TC_RCT_002</t>
  </si>
  <si>
    <t>TC_SEC_002</t>
  </si>
  <si>
    <t>Verify UPI payment options and validation</t>
  </si>
  <si>
    <t>Verify itemised bill receipt</t>
  </si>
  <si>
    <t>1. Select UPI.
2. Verify QR and UPI-ID options.
3. Enter an invalid UPI ID and submit.
4. Enter a valid test UPI ID and continue.</t>
  </si>
  <si>
    <t>Verify protected-role functions are inaccessible</t>
  </si>
  <si>
    <t>Invalid: test; Valid sandbox: success@upi</t>
  </si>
  <si>
    <t>1. Complete a discounted order.
2. Open the displayed receipt.
3. Compare items, subtotal, tax, discount, and total paid with checkout.</t>
  </si>
  <si>
    <t>Café Latte ₹220; Paneer Melt ₹260; tax ₹40; discount ₹52; paid ₹468</t>
  </si>
  <si>
    <t>When UPI is selected, the gateway shall present the available UPI payment options and validate the information required by the selected option.</t>
  </si>
  <si>
    <t>1. Use the customer kiosk flow without staff authorization.
2. Attempt to open Brew Crew and IT Admin functions through visible navigation and known protected routes.
3. Observe access control.</t>
  </si>
  <si>
    <t>The system shall show an itemised bill receipt containing the ordered items, subtotal, taxes, coupon discount when applicable, and total paid.</t>
  </si>
  <si>
    <t>Unauthenticated customer session</t>
  </si>
  <si>
    <t>Brew Crew and IT Admin functions shall not be accessible from the customer flow without protected authorization.</t>
  </si>
  <si>
    <t>Requirement Traceability Matrix - Coffee Kiosk POS Customer Frontend</t>
  </si>
  <si>
    <t>TC_PAY_004</t>
  </si>
  <si>
    <t>TC_RCT_003</t>
  </si>
  <si>
    <t>TS-RCT-02
Validate emailed receipts and creation of a clean new customer session.</t>
  </si>
  <si>
    <t>TC_SEC_003</t>
  </si>
  <si>
    <t>Verify Card fields and validation</t>
  </si>
  <si>
    <t>Verify receipt can be requested by email</t>
  </si>
  <si>
    <t>TS-NFR-01
Validate session security, protected roles, approved integrations, and payment-data protection.
TS-PAY-01
Validate UPI/Card options, gateway context, and payment-data handling.</t>
  </si>
  <si>
    <t>Verify payment credentials are not retained</t>
  </si>
  <si>
    <t>1. Select Card.
2. Verify required card fields are present.
3. Submit blank and invalid data.
4. Enter approved sandbox card data.</t>
  </si>
  <si>
    <t>1. Open a successful receipt.
2. Enter a valid test email address.
3. Tap Send.
4. Check the controlled inbox.</t>
  </si>
  <si>
    <t>Total Requirements</t>
  </si>
  <si>
    <t>Sandbox Card: 4111 1111 1111 1111; future expiry; test CVV</t>
  </si>
  <si>
    <t>receipt.qa@example.com</t>
  </si>
  <si>
    <t>1. Complete sandbox UPI and Card attempts.
2. Return to the kiosk flow.
3. Inspect visible fields and approved browser storage in the QA environment.
4. Confirm complete credentials are not retained.</t>
  </si>
  <si>
    <t>When Card is selected, the gateway shall present the required Card fields and validation through the third-party payment service.</t>
  </si>
  <si>
    <t>The customer shall be able to enter an email address and request a copy of the receipt.</t>
  </si>
  <si>
    <t>Approved sandbox UPI ID and Card details</t>
  </si>
  <si>
    <t>The customer frontend shall not store complete Card details, UPI credentials, or payment authentication data.</t>
  </si>
  <si>
    <t>TC_RCT_004</t>
  </si>
  <si>
    <t>TC_PAY_005</t>
  </si>
  <si>
    <t>Total Test Cases</t>
  </si>
  <si>
    <t>TS-PAY-02
Validate processing, verified success, failures, retries, and duplicate prevention.</t>
  </si>
  <si>
    <t>TC_SEC_004</t>
  </si>
  <si>
    <t>Verify email validation and send result</t>
  </si>
  <si>
    <t>Verify payment processing state</t>
  </si>
  <si>
    <t>Verify approved coupon and payment integrations</t>
  </si>
  <si>
    <t>Coverage</t>
  </si>
  <si>
    <t>1. Enter an invalid email and tap Send.
2. Observe validation.
3. Enter a valid email with email service available and unavailable.
4. Observe success and failure messages.</t>
  </si>
  <si>
    <t>1. Submit a valid sandbox UPI payment.
2. Observe the screen while the result is pending.
3. Attempt another submission during processing.</t>
  </si>
  <si>
    <t>Invalid: receipt@; Valid: receipt.qa@example.com</t>
  </si>
  <si>
    <t>Sandbox delayed-success response</t>
  </si>
  <si>
    <t>1. Apply a coupon and start payment.
2. Use Chromium DevTools in the QA environment.
3. Verify requests use the approved backend and gateway destinations.</t>
  </si>
  <si>
    <t>The system shall validate the email format and show whether the receipt request was sent or could not be completed.</t>
  </si>
  <si>
    <t>BREW10; sandbox UPI payment</t>
  </si>
  <si>
    <t>After payment is submitted, the system shall show a processing state and prevent repeated payment submission.</t>
  </si>
  <si>
    <t>The kiosk accepted receipt@, displayed a sent confirmation, and no receipt reached the controlled inbox.</t>
  </si>
  <si>
    <t>Payment and coupon requests shall be sent only through the approved backend and third-party payment integrations.</t>
  </si>
  <si>
    <t>CK-BUG-003</t>
  </si>
  <si>
    <t>Total Passed</t>
  </si>
  <si>
    <t>TC_RCT_005</t>
  </si>
  <si>
    <t>TC_PAY_006</t>
  </si>
  <si>
    <t>TC_PRV_001</t>
  </si>
  <si>
    <t>Verify starting a new order clears the prior session</t>
  </si>
  <si>
    <t>Total Failed</t>
  </si>
  <si>
    <t>TS-NFR-02
Validate privacy of receipt email and previous-customer information.</t>
  </si>
  <si>
    <t>Verify confirmation follows verified payment success</t>
  </si>
  <si>
    <t>Verify receipt email is cleared after use</t>
  </si>
  <si>
    <t>1. Complete an order and display its receipt.
2. Tap Start a New Order.
3. Verify the menu opens with an empty cart and no prior customer details.</t>
  </si>
  <si>
    <t>Total Blocked</t>
  </si>
  <si>
    <t>Completed order B042</t>
  </si>
  <si>
    <t>1. Submit a successful sandbox payment.
2. Wait for the verified success response.
3. Verify order confirmation appears only after that response.</t>
  </si>
  <si>
    <t>1. Send a receipt to the controlled inbox.
2. Start a new order.
3. Return to the receipt-email entry point.
4. Verify the previous address is not retained.</t>
  </si>
  <si>
    <t>The customer shall be able to start a new order, which shall clear the previous cart and customer session from the kiosk.</t>
  </si>
  <si>
    <t>Sandbox success response for order CK-260925-042</t>
  </si>
  <si>
    <t>The system shall show a successful order confirmation only after it receives a verified successful payment result.</t>
  </si>
  <si>
    <t>Not Executed</t>
  </si>
  <si>
    <t>An email address entered for a receipt shall be used only for that receipt request and shall be cleared from the kiosk session afterward.</t>
  </si>
  <si>
    <t>Active Defects</t>
  </si>
  <si>
    <t>Closed Defects</t>
  </si>
  <si>
    <t>TC_PAY_007</t>
  </si>
  <si>
    <t>TC_PRV_002</t>
  </si>
  <si>
    <t>Verify payment failure, timeout, cancellation, and retry</t>
  </si>
  <si>
    <t>Verify previous-customer data is not displayed</t>
  </si>
  <si>
    <t>Requirement</t>
  </si>
  <si>
    <t>1. Trigger failed, timed-out, and cancelled sandbox outcomes.
2. Verify the result message for each.
3. Retry or change method.
4. Verify the original cart and amount remain available.</t>
  </si>
  <si>
    <t>1. Complete one customer order and enter an email.
2. Clear the session or start a new order.
3. Navigate through the customer flow.
4. Confirm prior order and email information are absent.</t>
  </si>
  <si>
    <t>Gateway outcomes: fail, timeout, cancel</t>
  </si>
  <si>
    <t>Requirement Description</t>
  </si>
  <si>
    <t>Previous order B042 and receipt.qa@example.com</t>
  </si>
  <si>
    <t>If payment fails, times out, or is cancelled, the system shall show a clear result and allow the customer to retry or choose another supported payment method without rebuilding the cart.</t>
  </si>
  <si>
    <t>The kiosk shall not display one customer's order or email information after the session is cleared or a new order begins.</t>
  </si>
  <si>
    <t>Test Scenarios</t>
  </si>
  <si>
    <t>WBS Mapping</t>
  </si>
  <si>
    <t>Test Cases</t>
  </si>
  <si>
    <t>Test Status</t>
  </si>
  <si>
    <t>Defect ID</t>
  </si>
  <si>
    <t>Defect Status</t>
  </si>
  <si>
    <t>REQ-CAT-01</t>
  </si>
  <si>
    <t>TC_USE_001</t>
  </si>
  <si>
    <t>TS-NFR-03
Validate touch usability, visible feedback, useful errors, and non-colour status cues.</t>
  </si>
  <si>
    <t>Verify touch-friendly and consistent controls</t>
  </si>
  <si>
    <t>WBS-06</t>
  </si>
  <si>
    <t>1. Traverse the full customer order flow on the kiosk device.
2. Use primary controls by touch.
3. Check labels, spacing, and control consistency.</t>
  </si>
  <si>
    <t>Approved kiosk landscape resolution</t>
  </si>
  <si>
    <t>Primary controls shall be clearly labelled, touch-friendly, and visually consistent across the customer flow.</t>
  </si>
  <si>
    <t>REQ-CAT-02</t>
  </si>
  <si>
    <t>TC_USE_002</t>
  </si>
  <si>
    <t>Verify visible feedback for customer actions</t>
  </si>
  <si>
    <t>1. Add an item.
2. Apply a coupon.
3. Submit a payment.
4. Trigger an invalid action.
5. Observe feedback for each action.</t>
  </si>
  <si>
    <t>Café Latte; BREW10; sandbox payment; invalid coupon</t>
  </si>
  <si>
    <t>The system shall provide visible feedback when an item is added, a coupon is checked, payment is processing, or an action cannot be completed.</t>
  </si>
  <si>
    <t>REQ-CAT-03</t>
  </si>
  <si>
    <t>TC_USE_003</t>
  </si>
  <si>
    <t>Verify clear and actionable error messages</t>
  </si>
  <si>
    <t>1. Trigger invalid coupon, payment failure, and email validation errors.
2. Read each message.
3. Verify the problem and next action are clear.</t>
  </si>
  <si>
    <t>INVALID10; gateway failure; receipt@</t>
  </si>
  <si>
    <t>Error messages shall explain the problem in simple language and identify the next available customer action.</t>
  </si>
  <si>
    <t>REQ-CAT-04</t>
  </si>
  <si>
    <t>TC_USE_004</t>
  </si>
  <si>
    <t>Verify status does not rely on colour alone</t>
  </si>
  <si>
    <t>1. Inspect selected, unavailable, success, warning, and error states.
2. Confirm each state includes text, an icon, or another non-colour cue.</t>
  </si>
  <si>
    <t>Unavailable item; selected method; coupon success; payment error</t>
  </si>
  <si>
    <t>Important states shall use text or icons in addition to colour so they remain understandable without relying on colour alone.</t>
  </si>
  <si>
    <t>REQ-CAT-05</t>
  </si>
  <si>
    <t>P2</t>
  </si>
  <si>
    <t>TC_REL_001</t>
  </si>
  <si>
    <t>TS-NFR-04
Validate order-state reliability, error integrity, and approved kiosk compatibility.</t>
  </si>
  <si>
    <t>Verify cart and checkout state consistency</t>
  </si>
  <si>
    <t>1. Add configured items and choose checkout options.
2. Navigate between cart and checkout.
3. Trigger a failed payment and retry.
4. Verify item, option, and amount consistency.</t>
  </si>
  <si>
    <t>REQ-CAT-06</t>
  </si>
  <si>
    <t>Café Latte; Paneer Melt; Dine-in; ₹468</t>
  </si>
  <si>
    <t>The cart and checkout selections shall remain consistent while the customer moves through the normal order flow or retries a failed payment.</t>
  </si>
  <si>
    <t>TC_REL_002</t>
  </si>
  <si>
    <t>REQ-CAT-07</t>
  </si>
  <si>
    <t>TS-NFR-04
Validate order-state reliability, error integrity, and approved kiosk compatibility.
TS-PAY-02
Validate processing, verified success, failures, retries, and duplicate prevention.</t>
  </si>
  <si>
    <t>Verify repeated taps do not create duplicates</t>
  </si>
  <si>
    <t>1. Reach checkout with a valid order.
2. Rapidly tap the checkout or payment action multiple times.
3. Observe created order references and payment requests.
4. Retest after the supplied fix.</t>
  </si>
  <si>
    <t>Five rapid taps; order CK-260925-042</t>
  </si>
  <si>
    <t>Repeated taps on checkout or payment actions shall not create duplicate orders or duplicate payment requests.</t>
  </si>
  <si>
    <t>Retest passed: rapid repeated taps produced one order and one payment request after the fix.</t>
  </si>
  <si>
    <t>REQ-CART-01</t>
  </si>
  <si>
    <t>CK-BUG-002 (Closed)</t>
  </si>
  <si>
    <t>TC_REL_003</t>
  </si>
  <si>
    <t>WBS-07</t>
  </si>
  <si>
    <t>Verify service errors are not shown as success</t>
  </si>
  <si>
    <t>1. Interrupt network access during coupon, order, and payment requests.
2. Observe the displayed result for each.
3. Restore connectivity and retry.</t>
  </si>
  <si>
    <t>Controlled QA network interruption</t>
  </si>
  <si>
    <t>A connectivity or service error shall not be shown as a successful order or successful payment.</t>
  </si>
  <si>
    <t>REQ-CART-02</t>
  </si>
  <si>
    <t>TC_CMP_001</t>
  </si>
  <si>
    <t>Verify approved kiosk compatibility</t>
  </si>
  <si>
    <t>1. Open the QA build on the approved Chromium kiosk configuration.
2. Traverse every customer screen.
3. Check layout, text, controls, and scrolling at the approved landscape resolution.</t>
  </si>
  <si>
    <t>REQ-CART-03</t>
  </si>
  <si>
    <t>Chromium kiosk; 1440 × 900 landscape</t>
  </si>
  <si>
    <t>The customer frontend shall render correctly at the approved landscape kiosk resolution in the store's supported modern Chromium-based browser.</t>
  </si>
  <si>
    <t>TC_PERF_001</t>
  </si>
  <si>
    <t>TS-NFR-05
Validate visible processing states and prevention of repeated submissions.</t>
  </si>
  <si>
    <t>Verify loading states prevent repeated submission</t>
  </si>
  <si>
    <t>REQ-CART-04</t>
  </si>
  <si>
    <t>1. Throttle menu, coupon, order, and payment responses in the QA environment.
2. Start each request.
3. Observe loading indicators and action availability.
4. Attempt repeated submission while waiting.</t>
  </si>
  <si>
    <t>Controlled delayed responses: 3-5 seconds</t>
  </si>
  <si>
    <t>While waiting for menu, coupon, order, or payment responses, the frontend shall show a visible loading or processing state and prevent accidental repeated submission.</t>
  </si>
  <si>
    <t>REQ-CART-05</t>
  </si>
  <si>
    <t>REQ-CART-06</t>
  </si>
  <si>
    <t>REQ-CHK-01</t>
  </si>
  <si>
    <t>WBS-08</t>
  </si>
  <si>
    <t>REQ-CHK-02</t>
  </si>
  <si>
    <t>REQ-CHK-03</t>
  </si>
  <si>
    <t>REQ-CHK-04</t>
  </si>
  <si>
    <t>REQ-CHK-05</t>
  </si>
  <si>
    <t>Assigned</t>
  </si>
  <si>
    <t>REQ-CHK-06</t>
  </si>
  <si>
    <t>REQ-CHK-07</t>
  </si>
  <si>
    <t>REQ-CHK-08</t>
  </si>
  <si>
    <t>REQ-PAY-01</t>
  </si>
  <si>
    <t>WBS-09</t>
  </si>
  <si>
    <t>REQ-PAY-02</t>
  </si>
  <si>
    <t>REQ-PAY-03</t>
  </si>
  <si>
    <t>REQ-PAY-04</t>
  </si>
  <si>
    <t>REQ-PAY-05</t>
  </si>
  <si>
    <t>REQ-PAY-06</t>
  </si>
  <si>
    <t>REQ-PAY-07</t>
  </si>
  <si>
    <t>REQ-RCT-01</t>
  </si>
  <si>
    <t>WBS-10</t>
  </si>
  <si>
    <t>REQ-RCT-02</t>
  </si>
  <si>
    <t>REQ-RCT-03</t>
  </si>
  <si>
    <t>REQ-RCT-04</t>
  </si>
  <si>
    <t>Ready for Re-Test</t>
  </si>
  <si>
    <t>REQ-RCT-05</t>
  </si>
  <si>
    <t>REQ-SEC-01</t>
  </si>
  <si>
    <t>WBS-11</t>
  </si>
  <si>
    <t>Opened</t>
  </si>
  <si>
    <t>REQ-SEC-02</t>
  </si>
  <si>
    <t>REQ-SEC-03</t>
  </si>
  <si>
    <t>TS-NFR-01, TS-PAY-01</t>
  </si>
  <si>
    <t>REQ-SEC-04</t>
  </si>
  <si>
    <t>REQ-PRV-01</t>
  </si>
  <si>
    <t>REQ-PRV-02</t>
  </si>
  <si>
    <t>REQ-USE-01</t>
  </si>
  <si>
    <t>REQ-USE-02</t>
  </si>
  <si>
    <t>REQ-USE-03</t>
  </si>
  <si>
    <t>REQ-USE-04</t>
  </si>
  <si>
    <t>REQ-REL-01</t>
  </si>
  <si>
    <t>REQ-REL-02</t>
  </si>
  <si>
    <t>TS-NFR-04, TS-PAY-02</t>
  </si>
  <si>
    <t>CK-BUG-002</t>
  </si>
  <si>
    <t>Closed</t>
  </si>
  <si>
    <t>REQ-REL-03</t>
  </si>
  <si>
    <t>REQ-CMP-01</t>
  </si>
  <si>
    <t>REQ-PERF-01</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</si>
</sst>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d-mmm-yyyy"/>
    <numFmt numFmtId="165" formatCode="0.0%"/>
  </numFmts>
  <fonts count="6">
    <font>
      <sz val="11.0"/>
      <color rgb="FF000000"/>
      <name val="Carlito"/>
      <scheme val="minor"/>
    </font>
    <font>
      <b/>
      <sz val="10.0"/>
      <color rgb="FFFFFFFF"/>
      <name val="Arial"/>
    </font>
    <font>
      <sz val="10.0"/>
      <color rgb="FF1F2937"/>
      <name val="Arial"/>
    </font>
    <font>
      <b/>
      <sz val="14.0"/>
      <color rgb="FFFFFFFF"/>
      <name val="Arial"/>
    </font>
    <font>
      <b/>
      <sz val="9.0"/>
      <color rgb="FFFFFFFF"/>
      <name val="Arial"/>
    </font>
    <font>
      <b/>
      <sz val="11.0"/>
      <color rgb="FF203864"/>
      <name val="Arial"/>
    </font>
  </fonts>
  <fills count="6">
    <fill>
      <patternFill patternType="none"/>
    </fill>
    <fill>
      <patternFill patternType="lightGray"/>
    </fill>
    <fill>
      <patternFill patternType="solid">
        <fgColor rgb="FF2F5597"/>
        <bgColor rgb="FF2F5597"/>
      </patternFill>
    </fill>
    <fill>
      <patternFill patternType="solid">
        <fgColor rgb="FFFFFFFF"/>
        <bgColor rgb="FFFFFFFF"/>
      </patternFill>
    </fill>
    <fill>
      <patternFill patternType="solid">
        <fgColor rgb="FF203864"/>
        <bgColor rgb="FF203864"/>
      </patternFill>
    </fill>
    <fill>
      <patternFill patternType="solid">
        <fgColor rgb="FFEEF4FB"/>
        <bgColor rgb="FFEEF4FB"/>
      </patternFill>
    </fill>
  </fills>
  <borders count="3">
    <border/>
    <border>
      <left style="thin">
        <color rgb="FFFFFFFF"/>
      </left>
      <right style="thin">
        <color rgb="FFFFFFFF"/>
      </right>
      <top style="thin">
        <color rgb="FFFFFFFF"/>
      </top>
      <bottom style="thin">
        <color rgb="FFFFFFFF"/>
      </bottom>
    </border>
    <border>
      <left style="thin">
        <color rgb="FFB8C6D9"/>
      </left>
      <right style="thin">
        <color rgb="FFB8C6D9"/>
      </right>
      <top style="thin">
        <color rgb="FFB8C6D9"/>
      </top>
      <bottom style="thin">
        <color rgb="FFB8C6D9"/>
      </bottom>
    </border>
  </borders>
  <cellStyleXfs count="1">
    <xf borderId="0" fillId="0" fontId="0" numFmtId="0" applyAlignment="1" applyFont="1"/>
  </cellStyleXfs>
  <cellXfs count="11">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1" fillId="2" fontId="1" numFmtId="0" xfId="0" applyAlignment="1" applyBorder="1" applyFill="1" applyFont="1">
      <alignment horizontal="center" readingOrder="0" shrinkToFit="0" vertical="center" wrapText="1"/>
    </xf>
    <xf borderId="2" fillId="3" fontId="2" numFmtId="0" xfId="0" applyAlignment="1" applyBorder="1" applyFill="1" applyFont="1">
      <alignment horizontal="left" shrinkToFit="0" vertical="center" wrapText="1"/>
    </xf>
    <xf borderId="2" fillId="3" fontId="2" numFmtId="164" xfId="0" applyAlignment="1" applyBorder="1" applyFill="1" applyFont="1" applyNumberFormat="1">
      <alignment horizontal="left" shrinkToFit="0" vertical="center" wrapText="1"/>
    </xf>
    <xf borderId="2" fillId="0" fontId="2" numFmtId="0" xfId="0" applyAlignment="1" applyBorder="1" applyFont="1">
      <alignment horizontal="center" shrinkToFit="0" vertical="top" wrapText="1"/>
    </xf>
    <xf borderId="2" fillId="0" fontId="2" numFmtId="0" xfId="0" applyAlignment="1" applyBorder="1" applyFont="1">
      <alignment shrinkToFit="0" vertical="top" wrapText="1"/>
    </xf>
    <xf borderId="0" fillId="4" fontId="3" numFmtId="0" xfId="0" applyAlignment="1" applyFill="1" applyFont="1">
      <alignment horizontal="left" vertical="center"/>
    </xf>
    <xf borderId="1" fillId="2" fontId="4" numFmtId="0" xfId="0" applyAlignment="1" applyBorder="1" applyFill="1" applyFont="1">
      <alignment horizontal="center" shrinkToFit="0" vertical="center" wrapText="1"/>
    </xf>
    <xf borderId="2" fillId="5" fontId="5" numFmtId="0" xfId="0" applyAlignment="1" applyBorder="1" applyFill="1" applyFont="1">
      <alignment horizontal="center" vertical="center"/>
    </xf>
    <xf borderId="2" fillId="5" fontId="5" numFmtId="165" xfId="0" applyAlignment="1" applyBorder="1" applyFill="1" applyFont="1" applyNumberFormat="1">
      <alignment horizontal="center" vertical="center"/>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9C0006"/>
      </font>
      <fill>
        <patternFill patternType="solid">
          <fgColor rgb="FFFCE4D6"/>
          <bgColor rgb="FFFCE4D6"/>
        </patternFill>
      </fill>
      <border/>
    </dxf>
    <dxf>
      <font>
        <b/>
        <color rgb="FF9C6500"/>
      </font>
      <fill>
        <patternFill patternType="solid">
          <fgColor rgb="FFFFF2CC"/>
          <bgColor rgb="FFFFF2CC"/>
        </patternFill>
      </fill>
      <border/>
    </dxf>
    <dxf>
      <font>
        <b/>
        <color rgb="FF203864"/>
      </font>
      <fill>
        <patternFill patternType="solid">
          <fgColor rgb="FFEEF4FB"/>
          <bgColor rgb="FFEEF4FB"/>
        </patternFill>
      </fill>
      <border/>
    </dxf>
    <dxf>
      <font>
        <b/>
        <color rgb="FF256029"/>
      </font>
      <fill>
        <patternFill patternType="solid">
          <fgColor rgb="FFE2F0D9"/>
          <bgColor rgb="FFE2F0D9"/>
        </patternFill>
      </fill>
      <border/>
    </dxf>
    <dxf>
      <font>
        <color rgb="FF64748B"/>
      </font>
      <fill>
        <patternFill patternType="solid">
          <fgColor rgb="FFE7E6E6"/>
          <bgColor rgb="FFE7E6E6"/>
        </patternFill>
      </fill>
      <border/>
    </dxf>
  </dxfs>
  <tableStyles count="8">
    <tableStyle count="4" pivot="0" name="Food Catalog-style">
      <tableStyleElement dxfId="1" type="headerRow"/>
      <tableStyleElement dxfId="2" type="firstRowStripe"/>
      <tableStyleElement dxfId="3" type="secondRowStripe"/>
      <tableStyleElement dxfId="4" size="0" type="wholeTable"/>
    </tableStyle>
    <tableStyle count="4" pivot="0" name="Checkout-style">
      <tableStyleElement dxfId="1" type="headerRow"/>
      <tableStyleElement dxfId="2" type="firstRowStripe"/>
      <tableStyleElement dxfId="3" type="secondRowStripe"/>
      <tableStyleElement dxfId="4" size="0" type="wholeTable"/>
    </tableStyle>
    <tableStyle count="4" pivot="0" name="Test Scenarios-style">
      <tableStyleElement dxfId="1" type="headerRow"/>
      <tableStyleElement dxfId="2" type="firstRowStripe"/>
      <tableStyleElement dxfId="3" type="secondRowStripe"/>
      <tableStyleElement dxfId="4" size="0" type="wholeTable"/>
    </tableStyle>
    <tableStyle count="4" pivot="0" name="Cart-style">
      <tableStyleElement dxfId="1" type="headerRow"/>
      <tableStyleElement dxfId="2" type="firstRowStripe"/>
      <tableStyleElement dxfId="3" type="secondRowStripe"/>
      <tableStyleElement dxfId="4" size="0" type="wholeTable"/>
    </tableStyle>
    <tableStyle count="4" pivot="0" name="Payment Gateway-style">
      <tableStyleElement dxfId="1" type="headerRow"/>
      <tableStyleElement dxfId="2" type="firstRowStripe"/>
      <tableStyleElement dxfId="3" type="secondRowStripe"/>
      <tableStyleElement dxfId="4" size="0" type="wholeTable"/>
    </tableStyle>
    <tableStyle count="4" pivot="0" name="Non-Functional-style">
      <tableStyleElement dxfId="1" type="headerRow"/>
      <tableStyleElement dxfId="2" type="firstRowStripe"/>
      <tableStyleElement dxfId="3" type="secondRowStripe"/>
      <tableStyleElement dxfId="4" size="0" type="wholeTable"/>
    </tableStyle>
    <tableStyle count="4" pivot="0" name="Receipt-style">
      <tableStyleElement dxfId="1" type="headerRow"/>
      <tableStyleElement dxfId="2" type="firstRowStripe"/>
      <tableStyleElement dxfId="3" type="secondRowStripe"/>
      <tableStyleElement dxfId="4" size="0" type="wholeTable"/>
    </tableStyle>
    <tableStyle count="4" pivot="0" name="RTM-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0:F25" displayName="TestScenariosTable" name="TestScenariosTable" id="2">
  <tableColumns count="6">
    <tableColumn name="Test Scenario ID" id="1"/>
    <tableColumn name="Reference" id="2"/>
    <tableColumn name="Feature / Module" id="3"/>
    <tableColumn name="Test Scenario Description" id="4"/>
    <tableColumn name="Priority" id="5"/>
    <tableColumn name="Number of Test Cases" id="6"/>
  </tableColumns>
  <tableStyleInfo name="Test Scenarios-style" showColumnStripes="0" showFirstColumn="1" showLastColumn="1" showRowStripes="1"/>
</table>
</file>

<file path=xl/tables/table2.xml><?xml version="1.0" encoding="utf-8"?>
<table xmlns="http://schemas.openxmlformats.org/spreadsheetml/2006/main" ref="A1:K8" displayName="foodcatalogCasesTable" name="foodcatalogCasesTable" id="3">
  <tableColumns count="11">
    <tableColumn name="Test Case ID" id="1"/>
    <tableColumn name="Test Scenario" id="2"/>
    <tableColumn name="Test Case Title" id="3"/>
    <tableColumn name="Pre-requisites" id="4"/>
    <tableColumn name="Test Steps" id="5"/>
    <tableColumn name="Test Data" id="6"/>
    <tableColumn name="Expected Result (ER)" id="7"/>
    <tableColumn name="Actual Result (AR)" id="8"/>
    <tableColumn name="Priority" id="9"/>
    <tableColumn name="Result" id="10"/>
    <tableColumn name="Comments (Bug/Defect ID)" id="11"/>
  </tableColumns>
  <tableStyleInfo name="Food Catalog-style" showColumnStripes="0" showFirstColumn="1" showLastColumn="1" showRowStripes="1"/>
</table>
</file>

<file path=xl/tables/table3.xml><?xml version="1.0" encoding="utf-8"?>
<table xmlns="http://schemas.openxmlformats.org/spreadsheetml/2006/main" ref="A1:K7" displayName="cartCasesTable" name="cartCasesTable" id="4">
  <tableColumns count="11">
    <tableColumn name="Test Case ID" id="1"/>
    <tableColumn name="Test Scenario" id="2"/>
    <tableColumn name="Test Case Title" id="3"/>
    <tableColumn name="Pre-requisites" id="4"/>
    <tableColumn name="Test Steps" id="5"/>
    <tableColumn name="Test Data" id="6"/>
    <tableColumn name="Expected Result (ER)" id="7"/>
    <tableColumn name="Actual Result (AR)" id="8"/>
    <tableColumn name="Priority" id="9"/>
    <tableColumn name="Result" id="10"/>
    <tableColumn name="Comments (Bug/Defect ID)" id="11"/>
  </tableColumns>
  <tableStyleInfo name="Cart-style" showColumnStripes="0" showFirstColumn="1" showLastColumn="1" showRowStripes="1"/>
</table>
</file>

<file path=xl/tables/table4.xml><?xml version="1.0" encoding="utf-8"?>
<table xmlns="http://schemas.openxmlformats.org/spreadsheetml/2006/main" ref="A1:K9" displayName="checkoutCasesTable" name="checkoutCasesTable" id="1">
  <tableColumns count="11">
    <tableColumn name="Test Case ID" id="1"/>
    <tableColumn name="Test Scenario" id="2"/>
    <tableColumn name="Test Case Title" id="3"/>
    <tableColumn name="Pre-requisites" id="4"/>
    <tableColumn name="Test Steps" id="5"/>
    <tableColumn name="Test Data" id="6"/>
    <tableColumn name="Expected Result (ER)" id="7"/>
    <tableColumn name="Actual Result (AR)" id="8"/>
    <tableColumn name="Priority" id="9"/>
    <tableColumn name="Result" id="10"/>
    <tableColumn name="Comments (Bug/Defect ID)" id="11"/>
  </tableColumns>
  <tableStyleInfo name="Checkout-style" showColumnStripes="0" showFirstColumn="1" showLastColumn="1" showRowStripes="1"/>
</table>
</file>

<file path=xl/tables/table5.xml><?xml version="1.0" encoding="utf-8"?>
<table xmlns="http://schemas.openxmlformats.org/spreadsheetml/2006/main" ref="A1:K8" displayName="paymentgatewayCasesTable" name="paymentgatewayCasesTable" id="5">
  <tableColumns count="11">
    <tableColumn name="Test Case ID" id="1"/>
    <tableColumn name="Test Scenario" id="2"/>
    <tableColumn name="Test Case Title" id="3"/>
    <tableColumn name="Pre-requisites" id="4"/>
    <tableColumn name="Test Steps" id="5"/>
    <tableColumn name="Test Data" id="6"/>
    <tableColumn name="Expected Result (ER)" id="7"/>
    <tableColumn name="Actual Result (AR)" id="8"/>
    <tableColumn name="Priority" id="9"/>
    <tableColumn name="Result" id="10"/>
    <tableColumn name="Comments (Bug/Defect ID)" id="11"/>
  </tableColumns>
  <tableStyleInfo name="Payment Gateway-style" showColumnStripes="0" showFirstColumn="1" showLastColumn="1" showRowStripes="1"/>
</table>
</file>

<file path=xl/tables/table6.xml><?xml version="1.0" encoding="utf-8"?>
<table xmlns="http://schemas.openxmlformats.org/spreadsheetml/2006/main" ref="A1:K6" displayName="receiptCasesTable" name="receiptCasesTable" id="7">
  <tableColumns count="11">
    <tableColumn name="Test Case ID" id="1"/>
    <tableColumn name="Test Scenario" id="2"/>
    <tableColumn name="Test Case Title" id="3"/>
    <tableColumn name="Pre-requisites" id="4"/>
    <tableColumn name="Test Steps" id="5"/>
    <tableColumn name="Test Data" id="6"/>
    <tableColumn name="Expected Result (ER)" id="7"/>
    <tableColumn name="Actual Result (AR)" id="8"/>
    <tableColumn name="Priority" id="9"/>
    <tableColumn name="Result" id="10"/>
    <tableColumn name="Comments (Bug/Defect ID)" id="11"/>
  </tableColumns>
  <tableStyleInfo name="Receipt-style" showColumnStripes="0" showFirstColumn="1" showLastColumn="1" showRowStripes="1"/>
</table>
</file>

<file path=xl/tables/table7.xml><?xml version="1.0" encoding="utf-8"?>
<table xmlns="http://schemas.openxmlformats.org/spreadsheetml/2006/main" ref="A1:K16" displayName="nonfunctionalCasesTable" name="nonfunctionalCasesTable" id="6">
  <tableColumns count="11">
    <tableColumn name="Test Case ID" id="1"/>
    <tableColumn name="Test Scenario" id="2"/>
    <tableColumn name="Test Case Title" id="3"/>
    <tableColumn name="Pre-requisites" id="4"/>
    <tableColumn name="Test Steps" id="5"/>
    <tableColumn name="Test Data" id="6"/>
    <tableColumn name="Expected Result (ER)" id="7"/>
    <tableColumn name="Actual Result (AR)" id="8"/>
    <tableColumn name="Priority" id="9"/>
    <tableColumn name="Result" id="10"/>
    <tableColumn name="Comments (Bug/Defect ID)" id="11"/>
  </tableColumns>
  <tableStyleInfo name="Non-Functional-style" showColumnStripes="0" showFirstColumn="1" showLastColumn="1" showRowStripes="1"/>
</table>
</file>

<file path=xl/tables/table8.xml><?xml version="1.0" encoding="utf-8"?>
<table xmlns="http://schemas.openxmlformats.org/spreadsheetml/2006/main" ref="A10:H58" displayName="RTMTable" name="RTMTable" id="8">
  <tableColumns count="8">
    <tableColumn name="Requirement" id="1"/>
    <tableColumn name="Requirement Description" id="2"/>
    <tableColumn name="Test Scenarios" id="3"/>
    <tableColumn name="WBS Mapping" id="4"/>
    <tableColumn name="Test Cases" id="5"/>
    <tableColumn name="Test Status" id="6"/>
    <tableColumn name="Defect ID" id="7"/>
    <tableColumn name="Defect Status" id="8"/>
  </tableColumns>
  <tableStyleInfo name="RTM-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597"/>
    <pageSetUpPr/>
  </sheetPr>
  <sheetViews>
    <sheetView showGridLines="0" workbookViewId="0">
      <pane ySplit="10.0" topLeftCell="A11" activePane="bottomLeft" state="frozen"/>
      <selection activeCell="B12" sqref="B12" pane="bottomLeft"/>
    </sheetView>
  </sheetViews>
  <sheetFormatPr customHeight="1" defaultColWidth="12.63" defaultRowHeight="15.0"/>
  <cols>
    <col customWidth="1" min="1" max="1" width="29.75"/>
    <col customWidth="1" min="2" max="2" width="38.13"/>
    <col customWidth="1" min="3" max="3" width="15.0"/>
    <col customWidth="1" min="4" max="4" width="46.63"/>
    <col customWidth="1" min="5" max="5" width="8.38"/>
    <col customWidth="1" min="6" max="6" width="13.38"/>
    <col customWidth="1" min="7" max="26" width="8.63"/>
  </cols>
  <sheetData>
    <row r="2">
      <c r="A2" s="1" t="s">
        <v>1</v>
      </c>
      <c r="B2" s="3" t="s">
        <v>2</v>
      </c>
    </row>
    <row r="3">
      <c r="A3" s="1" t="s">
        <v>4</v>
      </c>
      <c r="B3" s="3" t="s">
        <v>6</v>
      </c>
    </row>
    <row r="4">
      <c r="A4" s="1" t="s">
        <v>7</v>
      </c>
      <c r="B4" s="3" t="s">
        <v>8</v>
      </c>
    </row>
    <row r="5">
      <c r="A5" s="1" t="s">
        <v>10</v>
      </c>
      <c r="B5" s="3" t="s">
        <v>11</v>
      </c>
    </row>
    <row r="6">
      <c r="A6" s="1" t="s">
        <v>12</v>
      </c>
      <c r="B6" s="4">
        <v>46290.0</v>
      </c>
    </row>
    <row r="7">
      <c r="A7" s="1" t="s">
        <v>15</v>
      </c>
      <c r="B7" s="4"/>
    </row>
    <row r="10">
      <c r="A10" s="2" t="s">
        <v>17</v>
      </c>
      <c r="B10" s="2" t="s">
        <v>21</v>
      </c>
      <c r="C10" s="2" t="s">
        <v>24</v>
      </c>
      <c r="D10" s="2" t="s">
        <v>26</v>
      </c>
      <c r="E10" s="2" t="s">
        <v>19</v>
      </c>
      <c r="F10" s="2" t="s">
        <v>31</v>
      </c>
    </row>
    <row r="11" ht="34.5" customHeight="1">
      <c r="A11" s="5" t="s">
        <v>36</v>
      </c>
      <c r="B11" s="5" t="s">
        <v>40</v>
      </c>
      <c r="C11" s="5" t="s">
        <v>43</v>
      </c>
      <c r="D11" s="6" t="s">
        <v>45</v>
      </c>
      <c r="E11" s="5" t="s">
        <v>44</v>
      </c>
      <c r="F11" s="5">
        <v>4.0</v>
      </c>
    </row>
    <row r="12" ht="34.5" customHeight="1">
      <c r="A12" s="5" t="s">
        <v>50</v>
      </c>
      <c r="B12" s="5" t="s">
        <v>40</v>
      </c>
      <c r="C12" s="5" t="s">
        <v>43</v>
      </c>
      <c r="D12" s="6" t="s">
        <v>59</v>
      </c>
      <c r="E12" s="5" t="s">
        <v>44</v>
      </c>
      <c r="F12" s="5">
        <v>3.0</v>
      </c>
    </row>
    <row r="13" ht="34.5" customHeight="1">
      <c r="A13" s="5" t="s">
        <v>66</v>
      </c>
      <c r="B13" s="5" t="s">
        <v>40</v>
      </c>
      <c r="C13" s="5" t="s">
        <v>68</v>
      </c>
      <c r="D13" s="6" t="s">
        <v>69</v>
      </c>
      <c r="E13" s="5" t="s">
        <v>44</v>
      </c>
      <c r="F13" s="5">
        <v>3.0</v>
      </c>
    </row>
    <row r="14" ht="34.5" customHeight="1">
      <c r="A14" s="5" t="s">
        <v>73</v>
      </c>
      <c r="B14" s="5" t="s">
        <v>40</v>
      </c>
      <c r="C14" s="5" t="s">
        <v>68</v>
      </c>
      <c r="D14" s="6" t="s">
        <v>82</v>
      </c>
      <c r="E14" s="5" t="s">
        <v>44</v>
      </c>
      <c r="F14" s="5">
        <v>3.0</v>
      </c>
    </row>
    <row r="15" ht="34.5" customHeight="1">
      <c r="A15" s="5" t="s">
        <v>87</v>
      </c>
      <c r="B15" s="5" t="s">
        <v>40</v>
      </c>
      <c r="C15" s="5" t="s">
        <v>89</v>
      </c>
      <c r="D15" s="6" t="s">
        <v>91</v>
      </c>
      <c r="E15" s="5" t="s">
        <v>44</v>
      </c>
      <c r="F15" s="5">
        <v>4.0</v>
      </c>
    </row>
    <row r="16" ht="34.5" customHeight="1">
      <c r="A16" s="5" t="s">
        <v>94</v>
      </c>
      <c r="B16" s="5" t="s">
        <v>40</v>
      </c>
      <c r="C16" s="5" t="s">
        <v>89</v>
      </c>
      <c r="D16" s="6" t="s">
        <v>102</v>
      </c>
      <c r="E16" s="5" t="s">
        <v>44</v>
      </c>
      <c r="F16" s="5">
        <v>4.0</v>
      </c>
    </row>
    <row r="17" ht="34.5" customHeight="1">
      <c r="A17" s="5" t="s">
        <v>108</v>
      </c>
      <c r="B17" s="5" t="s">
        <v>40</v>
      </c>
      <c r="C17" s="5" t="s">
        <v>111</v>
      </c>
      <c r="D17" s="6" t="s">
        <v>116</v>
      </c>
      <c r="E17" s="5" t="s">
        <v>44</v>
      </c>
      <c r="F17" s="5">
        <v>5.0</v>
      </c>
    </row>
    <row r="18" ht="34.5" customHeight="1">
      <c r="A18" s="5" t="s">
        <v>122</v>
      </c>
      <c r="B18" s="5" t="s">
        <v>40</v>
      </c>
      <c r="C18" s="5" t="s">
        <v>111</v>
      </c>
      <c r="D18" s="6" t="s">
        <v>126</v>
      </c>
      <c r="E18" s="5" t="s">
        <v>44</v>
      </c>
      <c r="F18" s="5">
        <v>4.0</v>
      </c>
    </row>
    <row r="19" ht="34.5" customHeight="1">
      <c r="A19" s="5" t="s">
        <v>131</v>
      </c>
      <c r="B19" s="5" t="s">
        <v>40</v>
      </c>
      <c r="C19" s="5" t="s">
        <v>135</v>
      </c>
      <c r="D19" s="6" t="s">
        <v>137</v>
      </c>
      <c r="E19" s="5" t="s">
        <v>44</v>
      </c>
      <c r="F19" s="5">
        <v>2.0</v>
      </c>
    </row>
    <row r="20" ht="34.5" customHeight="1">
      <c r="A20" s="5" t="s">
        <v>143</v>
      </c>
      <c r="B20" s="5" t="s">
        <v>40</v>
      </c>
      <c r="C20" s="5" t="s">
        <v>135</v>
      </c>
      <c r="D20" s="6" t="s">
        <v>148</v>
      </c>
      <c r="E20" s="5" t="s">
        <v>44</v>
      </c>
      <c r="F20" s="5">
        <v>3.0</v>
      </c>
    </row>
    <row r="21" ht="34.5" customHeight="1">
      <c r="A21" s="5" t="s">
        <v>151</v>
      </c>
      <c r="B21" s="5" t="s">
        <v>40</v>
      </c>
      <c r="C21" s="5" t="s">
        <v>156</v>
      </c>
      <c r="D21" s="6" t="s">
        <v>159</v>
      </c>
      <c r="E21" s="5" t="s">
        <v>44</v>
      </c>
      <c r="F21" s="5">
        <v>4.0</v>
      </c>
    </row>
    <row r="22" ht="34.5" customHeight="1">
      <c r="A22" s="5" t="s">
        <v>164</v>
      </c>
      <c r="B22" s="5" t="s">
        <v>40</v>
      </c>
      <c r="C22" s="5" t="s">
        <v>156</v>
      </c>
      <c r="D22" s="6" t="s">
        <v>167</v>
      </c>
      <c r="E22" s="5" t="s">
        <v>104</v>
      </c>
      <c r="F22" s="5">
        <v>2.0</v>
      </c>
    </row>
    <row r="23" ht="34.5" customHeight="1">
      <c r="A23" s="5" t="s">
        <v>170</v>
      </c>
      <c r="B23" s="5" t="s">
        <v>40</v>
      </c>
      <c r="C23" s="5" t="s">
        <v>156</v>
      </c>
      <c r="D23" s="6" t="s">
        <v>171</v>
      </c>
      <c r="E23" s="5" t="s">
        <v>104</v>
      </c>
      <c r="F23" s="5">
        <v>4.0</v>
      </c>
    </row>
    <row r="24" ht="34.5" customHeight="1">
      <c r="A24" s="5" t="s">
        <v>175</v>
      </c>
      <c r="B24" s="5" t="s">
        <v>40</v>
      </c>
      <c r="C24" s="5" t="s">
        <v>156</v>
      </c>
      <c r="D24" s="6" t="s">
        <v>176</v>
      </c>
      <c r="E24" s="5" t="s">
        <v>44</v>
      </c>
      <c r="F24" s="5">
        <v>4.0</v>
      </c>
    </row>
    <row r="25" ht="34.5" customHeight="1">
      <c r="A25" s="5" t="s">
        <v>177</v>
      </c>
      <c r="B25" s="5" t="s">
        <v>40</v>
      </c>
      <c r="C25" s="5" t="s">
        <v>156</v>
      </c>
      <c r="D25" s="6" t="s">
        <v>178</v>
      </c>
      <c r="E25" s="5" t="s">
        <v>104</v>
      </c>
      <c r="F25" s="5">
        <v>1.0</v>
      </c>
    </row>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E11:E25">
    <cfRule type="containsText" dxfId="5" priority="1" operator="containsText" text="P0">
      <formula>NOT(ISERROR(SEARCH(("P0"),(E11))))</formula>
    </cfRule>
  </conditionalFormatting>
  <conditionalFormatting sqref="E11:E25">
    <cfRule type="containsText" dxfId="6" priority="2" operator="containsText" text="P1">
      <formula>NOT(ISERROR(SEARCH(("P1"),(E11))))</formula>
    </cfRule>
  </conditionalFormatting>
  <conditionalFormatting sqref="E11:E25">
    <cfRule type="containsText" dxfId="7" priority="3" operator="containsText" text="P2">
      <formula>NOT(ISERROR(SEARCH(("P2"),(E11))))</formula>
    </cfRule>
  </conditionalFormatting>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597"/>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2.5"/>
    <col customWidth="1" min="2" max="2" width="20.0"/>
    <col customWidth="1" min="3" max="3" width="24.5"/>
    <col customWidth="1" min="4" max="4" width="23.38"/>
    <col customWidth="1" min="5" max="5" width="36.63"/>
    <col customWidth="1" min="6" max="6" width="22.75"/>
    <col customWidth="1" min="7" max="7" width="33.38"/>
    <col customWidth="1" min="8" max="8" width="27.75"/>
    <col customWidth="1" min="9" max="9" width="8.0"/>
    <col customWidth="1" min="10" max="10" width="10.0"/>
    <col customWidth="1" min="11" max="11" width="15.0"/>
    <col customWidth="1" min="12" max="26" width="8.63"/>
  </cols>
  <sheetData>
    <row r="1">
      <c r="A1" s="2" t="s">
        <v>0</v>
      </c>
      <c r="B1" s="2" t="s">
        <v>3</v>
      </c>
      <c r="C1" s="2" t="s">
        <v>5</v>
      </c>
      <c r="D1" s="2" t="s">
        <v>9</v>
      </c>
      <c r="E1" s="2" t="s">
        <v>13</v>
      </c>
      <c r="F1" s="2" t="s">
        <v>14</v>
      </c>
      <c r="G1" s="2" t="s">
        <v>16</v>
      </c>
      <c r="H1" s="2" t="s">
        <v>18</v>
      </c>
      <c r="I1" s="2" t="s">
        <v>19</v>
      </c>
      <c r="J1" s="2" t="s">
        <v>20</v>
      </c>
      <c r="K1" s="2" t="s">
        <v>22</v>
      </c>
    </row>
    <row r="2" ht="78.75" customHeight="1">
      <c r="A2" s="5" t="s">
        <v>23</v>
      </c>
      <c r="B2" s="5" t="s">
        <v>27</v>
      </c>
      <c r="C2" s="6" t="s">
        <v>29</v>
      </c>
      <c r="D2" s="6" t="s">
        <v>32</v>
      </c>
      <c r="E2" s="6" t="s">
        <v>34</v>
      </c>
      <c r="F2" s="6" t="s">
        <v>37</v>
      </c>
      <c r="G2" s="6" t="s">
        <v>39</v>
      </c>
      <c r="H2" s="6" t="s">
        <v>42</v>
      </c>
      <c r="I2" s="5" t="s">
        <v>44</v>
      </c>
      <c r="J2" s="5" t="s">
        <v>47</v>
      </c>
      <c r="K2" s="5"/>
    </row>
    <row r="3" ht="78.75" customHeight="1">
      <c r="A3" s="5" t="s">
        <v>49</v>
      </c>
      <c r="B3" s="5" t="s">
        <v>27</v>
      </c>
      <c r="C3" s="6" t="s">
        <v>53</v>
      </c>
      <c r="D3" s="6" t="s">
        <v>32</v>
      </c>
      <c r="E3" s="6" t="s">
        <v>58</v>
      </c>
      <c r="F3" s="6" t="s">
        <v>61</v>
      </c>
      <c r="G3" s="6" t="s">
        <v>63</v>
      </c>
      <c r="H3" s="6" t="s">
        <v>42</v>
      </c>
      <c r="I3" s="5" t="s">
        <v>44</v>
      </c>
      <c r="J3" s="5" t="s">
        <v>47</v>
      </c>
      <c r="K3" s="5"/>
    </row>
    <row r="4" ht="78.75" customHeight="1">
      <c r="A4" s="5" t="s">
        <v>70</v>
      </c>
      <c r="B4" s="5" t="s">
        <v>71</v>
      </c>
      <c r="C4" s="6" t="s">
        <v>74</v>
      </c>
      <c r="D4" s="6" t="s">
        <v>32</v>
      </c>
      <c r="E4" s="6" t="s">
        <v>77</v>
      </c>
      <c r="F4" s="6" t="s">
        <v>78</v>
      </c>
      <c r="G4" s="6" t="s">
        <v>81</v>
      </c>
      <c r="H4" s="6" t="s">
        <v>42</v>
      </c>
      <c r="I4" s="5" t="s">
        <v>44</v>
      </c>
      <c r="J4" s="5" t="s">
        <v>47</v>
      </c>
      <c r="K4" s="5"/>
    </row>
    <row r="5" ht="78.75" customHeight="1">
      <c r="A5" s="5" t="s">
        <v>90</v>
      </c>
      <c r="B5" s="5" t="s">
        <v>27</v>
      </c>
      <c r="C5" s="6" t="s">
        <v>93</v>
      </c>
      <c r="D5" s="6" t="s">
        <v>32</v>
      </c>
      <c r="E5" s="6" t="s">
        <v>95</v>
      </c>
      <c r="F5" s="6" t="s">
        <v>98</v>
      </c>
      <c r="G5" s="6" t="s">
        <v>99</v>
      </c>
      <c r="H5" s="6" t="s">
        <v>42</v>
      </c>
      <c r="I5" s="5" t="s">
        <v>104</v>
      </c>
      <c r="J5" s="5" t="s">
        <v>47</v>
      </c>
      <c r="K5" s="5"/>
    </row>
    <row r="6" ht="78.75" customHeight="1">
      <c r="A6" s="5" t="s">
        <v>110</v>
      </c>
      <c r="B6" s="5" t="s">
        <v>71</v>
      </c>
      <c r="C6" s="6" t="s">
        <v>112</v>
      </c>
      <c r="D6" s="6" t="s">
        <v>32</v>
      </c>
      <c r="E6" s="6" t="s">
        <v>117</v>
      </c>
      <c r="F6" s="6" t="s">
        <v>119</v>
      </c>
      <c r="G6" s="6" t="s">
        <v>123</v>
      </c>
      <c r="H6" s="6" t="s">
        <v>42</v>
      </c>
      <c r="I6" s="5" t="s">
        <v>104</v>
      </c>
      <c r="J6" s="5" t="s">
        <v>47</v>
      </c>
      <c r="K6" s="5"/>
    </row>
    <row r="7" ht="78.75" customHeight="1">
      <c r="A7" s="5" t="s">
        <v>128</v>
      </c>
      <c r="B7" s="5" t="s">
        <v>71</v>
      </c>
      <c r="C7" s="6" t="s">
        <v>133</v>
      </c>
      <c r="D7" s="6" t="s">
        <v>32</v>
      </c>
      <c r="E7" s="6" t="s">
        <v>138</v>
      </c>
      <c r="F7" s="6" t="s">
        <v>139</v>
      </c>
      <c r="G7" s="6" t="s">
        <v>142</v>
      </c>
      <c r="H7" s="6" t="s">
        <v>42</v>
      </c>
      <c r="I7" s="5" t="s">
        <v>44</v>
      </c>
      <c r="J7" s="5" t="s">
        <v>47</v>
      </c>
      <c r="K7" s="5"/>
    </row>
    <row r="8" ht="78.75" customHeight="1">
      <c r="A8" s="5" t="s">
        <v>150</v>
      </c>
      <c r="B8" s="5" t="s">
        <v>27</v>
      </c>
      <c r="C8" s="6" t="s">
        <v>153</v>
      </c>
      <c r="D8" s="6" t="s">
        <v>32</v>
      </c>
      <c r="E8" s="6" t="s">
        <v>157</v>
      </c>
      <c r="F8" s="6" t="s">
        <v>161</v>
      </c>
      <c r="G8" s="6" t="s">
        <v>162</v>
      </c>
      <c r="H8" s="6" t="s">
        <v>42</v>
      </c>
      <c r="I8" s="5" t="s">
        <v>104</v>
      </c>
      <c r="J8" s="5" t="s">
        <v>47</v>
      </c>
      <c r="K8"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I2:I8">
    <cfRule type="containsText" dxfId="5" priority="1" operator="containsText" text="P0">
      <formula>NOT(ISERROR(SEARCH(("P0"),(I2))))</formula>
    </cfRule>
  </conditionalFormatting>
  <conditionalFormatting sqref="I2:I8">
    <cfRule type="containsText" dxfId="6" priority="2" operator="containsText" text="P1">
      <formula>NOT(ISERROR(SEARCH(("P1"),(I2))))</formula>
    </cfRule>
  </conditionalFormatting>
  <conditionalFormatting sqref="I2:I8">
    <cfRule type="containsText" dxfId="7" priority="3" operator="containsText" text="P2">
      <formula>NOT(ISERROR(SEARCH(("P2"),(I2))))</formula>
    </cfRule>
  </conditionalFormatting>
  <conditionalFormatting sqref="J2:J8">
    <cfRule type="containsText" dxfId="8" priority="4" operator="containsText" text="Pass">
      <formula>NOT(ISERROR(SEARCH(("Pass"),(J2))))</formula>
    </cfRule>
  </conditionalFormatting>
  <conditionalFormatting sqref="J2:J8">
    <cfRule type="containsText" dxfId="5" priority="5" operator="containsText" text="Fail">
      <formula>NOT(ISERROR(SEARCH(("Fail"),(J2))))</formula>
    </cfRule>
  </conditionalFormatting>
  <conditionalFormatting sqref="J2:J8">
    <cfRule type="containsText" dxfId="6" priority="6" operator="containsText" text="Blocked">
      <formula>NOT(ISERROR(SEARCH(("Blocked"),(J2))))</formula>
    </cfRule>
  </conditionalFormatting>
  <conditionalFormatting sqref="J2:J8">
    <cfRule type="containsText" dxfId="9" priority="7" operator="containsText" text="Not Executed">
      <formula>NOT(ISERROR(SEARCH(("Not Executed"),(J2))))</formula>
    </cfRule>
  </conditionalFormatting>
  <dataValidations>
    <dataValidation type="list" allowBlank="1" sqref="J2:J8">
      <formula1>"Pass,Fail,Blocked,Not Executed"</formula1>
    </dataValidation>
    <dataValidation type="list" allowBlank="1" sqref="I2:I8">
      <formula1>"P0,P1,P2"</formula1>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597"/>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2.5"/>
    <col customWidth="1" min="2" max="2" width="20.0"/>
    <col customWidth="1" min="3" max="3" width="24.5"/>
    <col customWidth="1" min="4" max="4" width="23.38"/>
    <col customWidth="1" min="5" max="5" width="36.63"/>
    <col customWidth="1" min="6" max="6" width="22.75"/>
    <col customWidth="1" min="7" max="7" width="33.38"/>
    <col customWidth="1" min="8" max="8" width="27.75"/>
    <col customWidth="1" min="9" max="9" width="8.0"/>
    <col customWidth="1" min="10" max="10" width="10.0"/>
    <col customWidth="1" min="11" max="11" width="15.0"/>
    <col customWidth="1" min="12" max="26" width="8.63"/>
  </cols>
  <sheetData>
    <row r="1">
      <c r="A1" s="2" t="s">
        <v>0</v>
      </c>
      <c r="B1" s="2" t="s">
        <v>3</v>
      </c>
      <c r="C1" s="2" t="s">
        <v>5</v>
      </c>
      <c r="D1" s="2" t="s">
        <v>9</v>
      </c>
      <c r="E1" s="2" t="s">
        <v>13</v>
      </c>
      <c r="F1" s="2" t="s">
        <v>14</v>
      </c>
      <c r="G1" s="2" t="s">
        <v>16</v>
      </c>
      <c r="H1" s="2" t="s">
        <v>18</v>
      </c>
      <c r="I1" s="2" t="s">
        <v>19</v>
      </c>
      <c r="J1" s="2" t="s">
        <v>20</v>
      </c>
      <c r="K1" s="2" t="s">
        <v>22</v>
      </c>
    </row>
    <row r="2" ht="78.75" customHeight="1">
      <c r="A2" s="5" t="s">
        <v>46</v>
      </c>
      <c r="B2" s="5" t="s">
        <v>48</v>
      </c>
      <c r="C2" s="6" t="s">
        <v>52</v>
      </c>
      <c r="D2" s="6" t="s">
        <v>55</v>
      </c>
      <c r="E2" s="6" t="s">
        <v>57</v>
      </c>
      <c r="F2" s="6" t="s">
        <v>60</v>
      </c>
      <c r="G2" s="6" t="s">
        <v>64</v>
      </c>
      <c r="H2" s="6" t="s">
        <v>42</v>
      </c>
      <c r="I2" s="5" t="s">
        <v>44</v>
      </c>
      <c r="J2" s="5" t="s">
        <v>47</v>
      </c>
      <c r="K2" s="5"/>
    </row>
    <row r="3" ht="78.75" customHeight="1">
      <c r="A3" s="5" t="s">
        <v>72</v>
      </c>
      <c r="B3" s="5" t="s">
        <v>48</v>
      </c>
      <c r="C3" s="6" t="s">
        <v>76</v>
      </c>
      <c r="D3" s="6" t="s">
        <v>55</v>
      </c>
      <c r="E3" s="6" t="s">
        <v>80</v>
      </c>
      <c r="F3" s="6" t="s">
        <v>83</v>
      </c>
      <c r="G3" s="6" t="s">
        <v>84</v>
      </c>
      <c r="H3" s="6" t="s">
        <v>42</v>
      </c>
      <c r="I3" s="5" t="s">
        <v>44</v>
      </c>
      <c r="J3" s="5" t="s">
        <v>47</v>
      </c>
      <c r="K3" s="5"/>
    </row>
    <row r="4" ht="78.75" customHeight="1">
      <c r="A4" s="5" t="s">
        <v>92</v>
      </c>
      <c r="B4" s="5" t="s">
        <v>48</v>
      </c>
      <c r="C4" s="6" t="s">
        <v>96</v>
      </c>
      <c r="D4" s="6" t="s">
        <v>55</v>
      </c>
      <c r="E4" s="6" t="s">
        <v>100</v>
      </c>
      <c r="F4" s="6" t="s">
        <v>103</v>
      </c>
      <c r="G4" s="6" t="s">
        <v>105</v>
      </c>
      <c r="H4" s="6" t="s">
        <v>42</v>
      </c>
      <c r="I4" s="5" t="s">
        <v>44</v>
      </c>
      <c r="J4" s="5" t="s">
        <v>47</v>
      </c>
      <c r="K4" s="5"/>
    </row>
    <row r="5" ht="78.75" customHeight="1">
      <c r="A5" s="5" t="s">
        <v>113</v>
      </c>
      <c r="B5" s="5" t="s">
        <v>114</v>
      </c>
      <c r="C5" s="6" t="s">
        <v>115</v>
      </c>
      <c r="D5" s="6" t="s">
        <v>55</v>
      </c>
      <c r="E5" s="6" t="s">
        <v>118</v>
      </c>
      <c r="F5" s="6" t="s">
        <v>121</v>
      </c>
      <c r="G5" s="6" t="s">
        <v>124</v>
      </c>
      <c r="H5" s="6" t="s">
        <v>42</v>
      </c>
      <c r="I5" s="5" t="s">
        <v>44</v>
      </c>
      <c r="J5" s="5" t="s">
        <v>47</v>
      </c>
      <c r="K5" s="5"/>
    </row>
    <row r="6" ht="78.75" customHeight="1">
      <c r="A6" s="5" t="s">
        <v>130</v>
      </c>
      <c r="B6" s="5" t="s">
        <v>114</v>
      </c>
      <c r="C6" s="6" t="s">
        <v>134</v>
      </c>
      <c r="D6" s="6" t="s">
        <v>55</v>
      </c>
      <c r="E6" s="6" t="s">
        <v>140</v>
      </c>
      <c r="F6" s="6" t="s">
        <v>144</v>
      </c>
      <c r="G6" s="6" t="s">
        <v>146</v>
      </c>
      <c r="H6" s="6" t="s">
        <v>42</v>
      </c>
      <c r="I6" s="5" t="s">
        <v>104</v>
      </c>
      <c r="J6" s="5" t="s">
        <v>47</v>
      </c>
      <c r="K6" s="5"/>
    </row>
    <row r="7" ht="78.75" customHeight="1">
      <c r="A7" s="5" t="s">
        <v>154</v>
      </c>
      <c r="B7" s="5" t="s">
        <v>114</v>
      </c>
      <c r="C7" s="6" t="s">
        <v>160</v>
      </c>
      <c r="D7" s="6" t="s">
        <v>55</v>
      </c>
      <c r="E7" s="6" t="s">
        <v>163</v>
      </c>
      <c r="F7" s="6" t="s">
        <v>165</v>
      </c>
      <c r="G7" s="6" t="s">
        <v>166</v>
      </c>
      <c r="H7" s="6" t="s">
        <v>42</v>
      </c>
      <c r="I7" s="5" t="s">
        <v>104</v>
      </c>
      <c r="J7" s="5" t="s">
        <v>47</v>
      </c>
      <c r="K7"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I2:I7">
    <cfRule type="containsText" dxfId="5" priority="1" operator="containsText" text="P0">
      <formula>NOT(ISERROR(SEARCH(("P0"),(I2))))</formula>
    </cfRule>
  </conditionalFormatting>
  <conditionalFormatting sqref="I2:I7">
    <cfRule type="containsText" dxfId="6" priority="2" operator="containsText" text="P1">
      <formula>NOT(ISERROR(SEARCH(("P1"),(I2))))</formula>
    </cfRule>
  </conditionalFormatting>
  <conditionalFormatting sqref="I2:I7">
    <cfRule type="containsText" dxfId="7" priority="3" operator="containsText" text="P2">
      <formula>NOT(ISERROR(SEARCH(("P2"),(I2))))</formula>
    </cfRule>
  </conditionalFormatting>
  <conditionalFormatting sqref="J2:J7">
    <cfRule type="containsText" dxfId="8" priority="4" operator="containsText" text="Pass">
      <formula>NOT(ISERROR(SEARCH(("Pass"),(J2))))</formula>
    </cfRule>
  </conditionalFormatting>
  <conditionalFormatting sqref="J2:J7">
    <cfRule type="containsText" dxfId="5" priority="5" operator="containsText" text="Fail">
      <formula>NOT(ISERROR(SEARCH(("Fail"),(J2))))</formula>
    </cfRule>
  </conditionalFormatting>
  <conditionalFormatting sqref="J2:J7">
    <cfRule type="containsText" dxfId="6" priority="6" operator="containsText" text="Blocked">
      <formula>NOT(ISERROR(SEARCH(("Blocked"),(J2))))</formula>
    </cfRule>
  </conditionalFormatting>
  <conditionalFormatting sqref="J2:J7">
    <cfRule type="containsText" dxfId="9" priority="7" operator="containsText" text="Not Executed">
      <formula>NOT(ISERROR(SEARCH(("Not Executed"),(J2))))</formula>
    </cfRule>
  </conditionalFormatting>
  <dataValidations>
    <dataValidation type="list" allowBlank="1" sqref="J2:J7">
      <formula1>"Pass,Fail,Blocked,Not Executed"</formula1>
    </dataValidation>
    <dataValidation type="list" allowBlank="1" sqref="I2:I7">
      <formula1>"P0,P1,P2"</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597"/>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2.5"/>
    <col customWidth="1" min="2" max="2" width="20.0"/>
    <col customWidth="1" min="3" max="3" width="24.5"/>
    <col customWidth="1" min="4" max="4" width="23.38"/>
    <col customWidth="1" min="5" max="5" width="36.63"/>
    <col customWidth="1" min="6" max="6" width="22.75"/>
    <col customWidth="1" min="7" max="7" width="33.38"/>
    <col customWidth="1" min="8" max="8" width="27.75"/>
    <col customWidth="1" min="9" max="9" width="8.0"/>
    <col customWidth="1" min="10" max="10" width="10.0"/>
    <col customWidth="1" min="11" max="11" width="15.0"/>
    <col customWidth="1" min="12" max="26" width="8.63"/>
  </cols>
  <sheetData>
    <row r="1">
      <c r="A1" s="2" t="s">
        <v>0</v>
      </c>
      <c r="B1" s="2" t="s">
        <v>3</v>
      </c>
      <c r="C1" s="2" t="s">
        <v>5</v>
      </c>
      <c r="D1" s="2" t="s">
        <v>9</v>
      </c>
      <c r="E1" s="2" t="s">
        <v>13</v>
      </c>
      <c r="F1" s="2" t="s">
        <v>14</v>
      </c>
      <c r="G1" s="2" t="s">
        <v>16</v>
      </c>
      <c r="H1" s="2" t="s">
        <v>18</v>
      </c>
      <c r="I1" s="2" t="s">
        <v>19</v>
      </c>
      <c r="J1" s="2" t="s">
        <v>20</v>
      </c>
      <c r="K1" s="2" t="s">
        <v>22</v>
      </c>
    </row>
    <row r="2" ht="78.75" customHeight="1">
      <c r="A2" s="5" t="s">
        <v>25</v>
      </c>
      <c r="B2" s="5" t="s">
        <v>28</v>
      </c>
      <c r="C2" s="6" t="s">
        <v>30</v>
      </c>
      <c r="D2" s="6" t="s">
        <v>33</v>
      </c>
      <c r="E2" s="6" t="s">
        <v>35</v>
      </c>
      <c r="F2" s="6" t="s">
        <v>38</v>
      </c>
      <c r="G2" s="6" t="s">
        <v>41</v>
      </c>
      <c r="H2" s="6" t="s">
        <v>42</v>
      </c>
      <c r="I2" s="5" t="s">
        <v>44</v>
      </c>
      <c r="J2" s="5" t="s">
        <v>47</v>
      </c>
      <c r="K2" s="5"/>
    </row>
    <row r="3" ht="78.75" customHeight="1">
      <c r="A3" s="5" t="s">
        <v>51</v>
      </c>
      <c r="B3" s="5" t="s">
        <v>54</v>
      </c>
      <c r="C3" s="6" t="s">
        <v>56</v>
      </c>
      <c r="D3" s="6" t="s">
        <v>33</v>
      </c>
      <c r="E3" s="6" t="s">
        <v>62</v>
      </c>
      <c r="F3" s="6" t="s">
        <v>65</v>
      </c>
      <c r="G3" s="6" t="s">
        <v>67</v>
      </c>
      <c r="H3" s="6" t="s">
        <v>42</v>
      </c>
      <c r="I3" s="5" t="s">
        <v>44</v>
      </c>
      <c r="J3" s="5" t="s">
        <v>47</v>
      </c>
      <c r="K3" s="5"/>
    </row>
    <row r="4" ht="78.75" customHeight="1">
      <c r="A4" s="5" t="s">
        <v>75</v>
      </c>
      <c r="B4" s="5" t="s">
        <v>28</v>
      </c>
      <c r="C4" s="6" t="s">
        <v>79</v>
      </c>
      <c r="D4" s="6" t="s">
        <v>33</v>
      </c>
      <c r="E4" s="6" t="s">
        <v>85</v>
      </c>
      <c r="F4" s="6" t="s">
        <v>86</v>
      </c>
      <c r="G4" s="6" t="s">
        <v>88</v>
      </c>
      <c r="H4" s="6" t="s">
        <v>42</v>
      </c>
      <c r="I4" s="5" t="s">
        <v>44</v>
      </c>
      <c r="J4" s="5" t="s">
        <v>47</v>
      </c>
      <c r="K4" s="5"/>
    </row>
    <row r="5" ht="78.75" customHeight="1">
      <c r="A5" s="5" t="s">
        <v>97</v>
      </c>
      <c r="B5" s="5" t="s">
        <v>54</v>
      </c>
      <c r="C5" s="6" t="s">
        <v>101</v>
      </c>
      <c r="D5" s="6" t="s">
        <v>33</v>
      </c>
      <c r="E5" s="6" t="s">
        <v>106</v>
      </c>
      <c r="F5" s="6" t="s">
        <v>107</v>
      </c>
      <c r="G5" s="6" t="s">
        <v>109</v>
      </c>
      <c r="H5" s="6" t="s">
        <v>42</v>
      </c>
      <c r="I5" s="5" t="s">
        <v>104</v>
      </c>
      <c r="J5" s="5" t="s">
        <v>47</v>
      </c>
      <c r="K5" s="5"/>
    </row>
    <row r="6" ht="78.75" customHeight="1">
      <c r="A6" s="5" t="s">
        <v>120</v>
      </c>
      <c r="B6" s="5" t="s">
        <v>54</v>
      </c>
      <c r="C6" s="6" t="s">
        <v>125</v>
      </c>
      <c r="D6" s="6" t="s">
        <v>33</v>
      </c>
      <c r="E6" s="6" t="s">
        <v>127</v>
      </c>
      <c r="F6" s="6" t="s">
        <v>129</v>
      </c>
      <c r="G6" s="6" t="s">
        <v>132</v>
      </c>
      <c r="H6" s="6" t="s">
        <v>136</v>
      </c>
      <c r="I6" s="5" t="s">
        <v>44</v>
      </c>
      <c r="J6" s="5" t="s">
        <v>141</v>
      </c>
      <c r="K6" s="5" t="s">
        <v>145</v>
      </c>
    </row>
    <row r="7" ht="78.75" customHeight="1">
      <c r="A7" s="5" t="s">
        <v>147</v>
      </c>
      <c r="B7" s="5" t="s">
        <v>28</v>
      </c>
      <c r="C7" s="6" t="s">
        <v>149</v>
      </c>
      <c r="D7" s="6" t="s">
        <v>33</v>
      </c>
      <c r="E7" s="6" t="s">
        <v>152</v>
      </c>
      <c r="F7" s="6" t="s">
        <v>155</v>
      </c>
      <c r="G7" s="6" t="s">
        <v>158</v>
      </c>
      <c r="H7" s="6" t="s">
        <v>42</v>
      </c>
      <c r="I7" s="5" t="s">
        <v>44</v>
      </c>
      <c r="J7" s="5" t="s">
        <v>47</v>
      </c>
      <c r="K7" s="5"/>
    </row>
    <row r="8" ht="78.75" customHeight="1">
      <c r="A8" s="5" t="s">
        <v>168</v>
      </c>
      <c r="B8" s="5" t="s">
        <v>28</v>
      </c>
      <c r="C8" s="6" t="s">
        <v>169</v>
      </c>
      <c r="D8" s="6" t="s">
        <v>33</v>
      </c>
      <c r="E8" s="6" t="s">
        <v>172</v>
      </c>
      <c r="F8" s="6" t="s">
        <v>173</v>
      </c>
      <c r="G8" s="6" t="s">
        <v>174</v>
      </c>
      <c r="H8" s="6" t="s">
        <v>42</v>
      </c>
      <c r="I8" s="5" t="s">
        <v>44</v>
      </c>
      <c r="J8" s="5" t="s">
        <v>47</v>
      </c>
      <c r="K8" s="5"/>
    </row>
    <row r="9" ht="78.75" customHeight="1">
      <c r="A9" s="5" t="s">
        <v>179</v>
      </c>
      <c r="B9" s="5" t="s">
        <v>54</v>
      </c>
      <c r="C9" s="6" t="s">
        <v>180</v>
      </c>
      <c r="D9" s="6" t="s">
        <v>33</v>
      </c>
      <c r="E9" s="6" t="s">
        <v>181</v>
      </c>
      <c r="F9" s="6" t="s">
        <v>182</v>
      </c>
      <c r="G9" s="6" t="s">
        <v>183</v>
      </c>
      <c r="H9" s="6" t="s">
        <v>42</v>
      </c>
      <c r="I9" s="5" t="s">
        <v>104</v>
      </c>
      <c r="J9" s="5" t="s">
        <v>47</v>
      </c>
      <c r="K9"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I2:I9">
    <cfRule type="containsText" dxfId="5" priority="1" operator="containsText" text="P0">
      <formula>NOT(ISERROR(SEARCH(("P0"),(I2))))</formula>
    </cfRule>
  </conditionalFormatting>
  <conditionalFormatting sqref="I2:I9">
    <cfRule type="containsText" dxfId="6" priority="2" operator="containsText" text="P1">
      <formula>NOT(ISERROR(SEARCH(("P1"),(I2))))</formula>
    </cfRule>
  </conditionalFormatting>
  <conditionalFormatting sqref="I2:I9">
    <cfRule type="containsText" dxfId="7" priority="3" operator="containsText" text="P2">
      <formula>NOT(ISERROR(SEARCH(("P2"),(I2))))</formula>
    </cfRule>
  </conditionalFormatting>
  <conditionalFormatting sqref="J2:J9">
    <cfRule type="containsText" dxfId="8" priority="4" operator="containsText" text="Pass">
      <formula>NOT(ISERROR(SEARCH(("Pass"),(J2))))</formula>
    </cfRule>
  </conditionalFormatting>
  <conditionalFormatting sqref="J2:J9">
    <cfRule type="containsText" dxfId="5" priority="5" operator="containsText" text="Fail">
      <formula>NOT(ISERROR(SEARCH(("Fail"),(J2))))</formula>
    </cfRule>
  </conditionalFormatting>
  <conditionalFormatting sqref="J2:J9">
    <cfRule type="containsText" dxfId="6" priority="6" operator="containsText" text="Blocked">
      <formula>NOT(ISERROR(SEARCH(("Blocked"),(J2))))</formula>
    </cfRule>
  </conditionalFormatting>
  <conditionalFormatting sqref="J2:J9">
    <cfRule type="containsText" dxfId="9" priority="7" operator="containsText" text="Not Executed">
      <formula>NOT(ISERROR(SEARCH(("Not Executed"),(J2))))</formula>
    </cfRule>
  </conditionalFormatting>
  <dataValidations>
    <dataValidation type="list" allowBlank="1" sqref="J2:J9">
      <formula1>"Pass,Fail,Blocked,Not Executed"</formula1>
    </dataValidation>
    <dataValidation type="list" allowBlank="1" sqref="I2:I9">
      <formula1>"P0,P1,P2"</formula1>
    </dataValidation>
  </dataValidation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597"/>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2.5"/>
    <col customWidth="1" min="2" max="2" width="20.0"/>
    <col customWidth="1" min="3" max="3" width="24.5"/>
    <col customWidth="1" min="4" max="4" width="23.38"/>
    <col customWidth="1" min="5" max="5" width="36.63"/>
    <col customWidth="1" min="6" max="6" width="22.75"/>
    <col customWidth="1" min="7" max="7" width="33.38"/>
    <col customWidth="1" min="8" max="8" width="27.75"/>
    <col customWidth="1" min="9" max="9" width="8.0"/>
    <col customWidth="1" min="10" max="10" width="10.0"/>
    <col customWidth="1" min="11" max="11" width="15.0"/>
    <col customWidth="1" min="12" max="26" width="8.63"/>
  </cols>
  <sheetData>
    <row r="1">
      <c r="A1" s="2" t="s">
        <v>0</v>
      </c>
      <c r="B1" s="2" t="s">
        <v>3</v>
      </c>
      <c r="C1" s="2" t="s">
        <v>5</v>
      </c>
      <c r="D1" s="2" t="s">
        <v>9</v>
      </c>
      <c r="E1" s="2" t="s">
        <v>13</v>
      </c>
      <c r="F1" s="2" t="s">
        <v>14</v>
      </c>
      <c r="G1" s="2" t="s">
        <v>16</v>
      </c>
      <c r="H1" s="2" t="s">
        <v>18</v>
      </c>
      <c r="I1" s="2" t="s">
        <v>19</v>
      </c>
      <c r="J1" s="2" t="s">
        <v>20</v>
      </c>
      <c r="K1" s="2" t="s">
        <v>22</v>
      </c>
    </row>
    <row r="2" ht="78.75" customHeight="1">
      <c r="A2" s="5" t="s">
        <v>184</v>
      </c>
      <c r="B2" s="5" t="s">
        <v>185</v>
      </c>
      <c r="C2" s="6" t="s">
        <v>186</v>
      </c>
      <c r="D2" s="6" t="s">
        <v>187</v>
      </c>
      <c r="E2" s="6" t="s">
        <v>188</v>
      </c>
      <c r="F2" s="6" t="s">
        <v>189</v>
      </c>
      <c r="G2" s="6" t="s">
        <v>190</v>
      </c>
      <c r="H2" s="6" t="s">
        <v>42</v>
      </c>
      <c r="I2" s="5" t="s">
        <v>44</v>
      </c>
      <c r="J2" s="5" t="s">
        <v>47</v>
      </c>
      <c r="K2" s="5"/>
    </row>
    <row r="3" ht="78.75" customHeight="1">
      <c r="A3" s="5" t="s">
        <v>195</v>
      </c>
      <c r="B3" s="5" t="s">
        <v>185</v>
      </c>
      <c r="C3" s="6" t="s">
        <v>199</v>
      </c>
      <c r="D3" s="6" t="s">
        <v>187</v>
      </c>
      <c r="E3" s="6" t="s">
        <v>202</v>
      </c>
      <c r="F3" s="6" t="s">
        <v>204</v>
      </c>
      <c r="G3" s="6" t="s">
        <v>207</v>
      </c>
      <c r="H3" s="6" t="s">
        <v>42</v>
      </c>
      <c r="I3" s="5" t="s">
        <v>44</v>
      </c>
      <c r="J3" s="5" t="s">
        <v>47</v>
      </c>
      <c r="K3" s="5"/>
    </row>
    <row r="4" ht="78.75" customHeight="1">
      <c r="A4" s="5" t="s">
        <v>212</v>
      </c>
      <c r="B4" s="5" t="s">
        <v>185</v>
      </c>
      <c r="C4" s="6" t="s">
        <v>215</v>
      </c>
      <c r="D4" s="6" t="s">
        <v>187</v>
      </c>
      <c r="E4" s="6" t="s">
        <v>217</v>
      </c>
      <c r="F4" s="6" t="s">
        <v>219</v>
      </c>
      <c r="G4" s="6" t="s">
        <v>222</v>
      </c>
      <c r="H4" s="6" t="s">
        <v>42</v>
      </c>
      <c r="I4" s="5" t="s">
        <v>44</v>
      </c>
      <c r="J4" s="5" t="s">
        <v>47</v>
      </c>
      <c r="K4" s="5"/>
    </row>
    <row r="5" ht="78.75" customHeight="1">
      <c r="A5" s="5" t="s">
        <v>228</v>
      </c>
      <c r="B5" s="5" t="s">
        <v>185</v>
      </c>
      <c r="C5" s="6" t="s">
        <v>232</v>
      </c>
      <c r="D5" s="6" t="s">
        <v>187</v>
      </c>
      <c r="E5" s="6" t="s">
        <v>236</v>
      </c>
      <c r="F5" s="6" t="s">
        <v>239</v>
      </c>
      <c r="G5" s="6" t="s">
        <v>242</v>
      </c>
      <c r="H5" s="6" t="s">
        <v>42</v>
      </c>
      <c r="I5" s="5" t="s">
        <v>44</v>
      </c>
      <c r="J5" s="5" t="s">
        <v>47</v>
      </c>
      <c r="K5" s="5"/>
    </row>
    <row r="6" ht="78.75" customHeight="1">
      <c r="A6" s="5" t="s">
        <v>247</v>
      </c>
      <c r="B6" s="5" t="s">
        <v>249</v>
      </c>
      <c r="C6" s="6" t="s">
        <v>252</v>
      </c>
      <c r="D6" s="6" t="s">
        <v>187</v>
      </c>
      <c r="E6" s="6" t="s">
        <v>256</v>
      </c>
      <c r="F6" s="6" t="s">
        <v>258</v>
      </c>
      <c r="G6" s="6" t="s">
        <v>262</v>
      </c>
      <c r="H6" s="6" t="s">
        <v>42</v>
      </c>
      <c r="I6" s="5" t="s">
        <v>44</v>
      </c>
      <c r="J6" s="5" t="s">
        <v>47</v>
      </c>
      <c r="K6" s="5"/>
    </row>
    <row r="7" ht="78.75" customHeight="1">
      <c r="A7" s="5" t="s">
        <v>268</v>
      </c>
      <c r="B7" s="5" t="s">
        <v>249</v>
      </c>
      <c r="C7" s="6" t="s">
        <v>273</v>
      </c>
      <c r="D7" s="6" t="s">
        <v>187</v>
      </c>
      <c r="E7" s="6" t="s">
        <v>278</v>
      </c>
      <c r="F7" s="6" t="s">
        <v>281</v>
      </c>
      <c r="G7" s="6" t="s">
        <v>282</v>
      </c>
      <c r="H7" s="6" t="s">
        <v>42</v>
      </c>
      <c r="I7" s="5" t="s">
        <v>44</v>
      </c>
      <c r="J7" s="5" t="s">
        <v>47</v>
      </c>
      <c r="K7" s="5"/>
    </row>
    <row r="8" ht="78.75" customHeight="1">
      <c r="A8" s="5" t="s">
        <v>287</v>
      </c>
      <c r="B8" s="5" t="s">
        <v>249</v>
      </c>
      <c r="C8" s="6" t="s">
        <v>289</v>
      </c>
      <c r="D8" s="6" t="s">
        <v>187</v>
      </c>
      <c r="E8" s="6" t="s">
        <v>292</v>
      </c>
      <c r="F8" s="6" t="s">
        <v>294</v>
      </c>
      <c r="G8" s="6" t="s">
        <v>297</v>
      </c>
      <c r="H8" s="6" t="s">
        <v>42</v>
      </c>
      <c r="I8" s="5" t="s">
        <v>44</v>
      </c>
      <c r="J8" s="5" t="s">
        <v>47</v>
      </c>
      <c r="K8"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I2:I8">
    <cfRule type="containsText" dxfId="5" priority="1" operator="containsText" text="P0">
      <formula>NOT(ISERROR(SEARCH(("P0"),(I2))))</formula>
    </cfRule>
  </conditionalFormatting>
  <conditionalFormatting sqref="I2:I8">
    <cfRule type="containsText" dxfId="6" priority="2" operator="containsText" text="P1">
      <formula>NOT(ISERROR(SEARCH(("P1"),(I2))))</formula>
    </cfRule>
  </conditionalFormatting>
  <conditionalFormatting sqref="I2:I8">
    <cfRule type="containsText" dxfId="7" priority="3" operator="containsText" text="P2">
      <formula>NOT(ISERROR(SEARCH(("P2"),(I2))))</formula>
    </cfRule>
  </conditionalFormatting>
  <conditionalFormatting sqref="J2:J8">
    <cfRule type="containsText" dxfId="8" priority="4" operator="containsText" text="Pass">
      <formula>NOT(ISERROR(SEARCH(("Pass"),(J2))))</formula>
    </cfRule>
  </conditionalFormatting>
  <conditionalFormatting sqref="J2:J8">
    <cfRule type="containsText" dxfId="5" priority="5" operator="containsText" text="Fail">
      <formula>NOT(ISERROR(SEARCH(("Fail"),(J2))))</formula>
    </cfRule>
  </conditionalFormatting>
  <conditionalFormatting sqref="J2:J8">
    <cfRule type="containsText" dxfId="6" priority="6" operator="containsText" text="Blocked">
      <formula>NOT(ISERROR(SEARCH(("Blocked"),(J2))))</formula>
    </cfRule>
  </conditionalFormatting>
  <conditionalFormatting sqref="J2:J8">
    <cfRule type="containsText" dxfId="9" priority="7" operator="containsText" text="Not Executed">
      <formula>NOT(ISERROR(SEARCH(("Not Executed"),(J2))))</formula>
    </cfRule>
  </conditionalFormatting>
  <dataValidations>
    <dataValidation type="list" allowBlank="1" sqref="J2:J8">
      <formula1>"Pass,Fail,Blocked,Not Executed"</formula1>
    </dataValidation>
    <dataValidation type="list" allowBlank="1" sqref="I2:I8">
      <formula1>"P0,P1,P2"</formula1>
    </dataValidation>
  </dataValidation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597"/>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2.5"/>
    <col customWidth="1" min="2" max="2" width="20.0"/>
    <col customWidth="1" min="3" max="3" width="24.5"/>
    <col customWidth="1" min="4" max="4" width="23.38"/>
    <col customWidth="1" min="5" max="5" width="36.63"/>
    <col customWidth="1" min="6" max="6" width="22.75"/>
    <col customWidth="1" min="7" max="7" width="33.38"/>
    <col customWidth="1" min="8" max="8" width="27.75"/>
    <col customWidth="1" min="9" max="9" width="8.0"/>
    <col customWidth="1" min="10" max="10" width="10.0"/>
    <col customWidth="1" min="11" max="11" width="15.0"/>
    <col customWidth="1" min="12" max="26" width="8.63"/>
  </cols>
  <sheetData>
    <row r="1">
      <c r="A1" s="2" t="s">
        <v>0</v>
      </c>
      <c r="B1" s="2" t="s">
        <v>3</v>
      </c>
      <c r="C1" s="2" t="s">
        <v>5</v>
      </c>
      <c r="D1" s="2" t="s">
        <v>9</v>
      </c>
      <c r="E1" s="2" t="s">
        <v>13</v>
      </c>
      <c r="F1" s="2" t="s">
        <v>14</v>
      </c>
      <c r="G1" s="2" t="s">
        <v>16</v>
      </c>
      <c r="H1" s="2" t="s">
        <v>18</v>
      </c>
      <c r="I1" s="2" t="s">
        <v>19</v>
      </c>
      <c r="J1" s="2" t="s">
        <v>20</v>
      </c>
      <c r="K1" s="2" t="s">
        <v>22</v>
      </c>
    </row>
    <row r="2" ht="78.75" customHeight="1">
      <c r="A2" s="5" t="s">
        <v>197</v>
      </c>
      <c r="B2" s="5" t="s">
        <v>198</v>
      </c>
      <c r="C2" s="6" t="s">
        <v>200</v>
      </c>
      <c r="D2" s="6" t="s">
        <v>201</v>
      </c>
      <c r="E2" s="6" t="s">
        <v>203</v>
      </c>
      <c r="F2" s="6" t="s">
        <v>206</v>
      </c>
      <c r="G2" s="6" t="s">
        <v>209</v>
      </c>
      <c r="H2" s="6" t="s">
        <v>42</v>
      </c>
      <c r="I2" s="5" t="s">
        <v>44</v>
      </c>
      <c r="J2" s="5" t="s">
        <v>47</v>
      </c>
      <c r="K2" s="5"/>
    </row>
    <row r="3" ht="78.75" customHeight="1">
      <c r="A3" s="5" t="s">
        <v>213</v>
      </c>
      <c r="B3" s="5" t="s">
        <v>198</v>
      </c>
      <c r="C3" s="6" t="s">
        <v>216</v>
      </c>
      <c r="D3" s="6" t="s">
        <v>201</v>
      </c>
      <c r="E3" s="6" t="s">
        <v>220</v>
      </c>
      <c r="F3" s="6" t="s">
        <v>221</v>
      </c>
      <c r="G3" s="6" t="s">
        <v>224</v>
      </c>
      <c r="H3" s="6" t="s">
        <v>42</v>
      </c>
      <c r="I3" s="5" t="s">
        <v>44</v>
      </c>
      <c r="J3" s="5" t="s">
        <v>47</v>
      </c>
      <c r="K3" s="5"/>
    </row>
    <row r="4" ht="78.75" customHeight="1">
      <c r="A4" s="5" t="s">
        <v>229</v>
      </c>
      <c r="B4" s="5" t="s">
        <v>230</v>
      </c>
      <c r="C4" s="6" t="s">
        <v>233</v>
      </c>
      <c r="D4" s="6" t="s">
        <v>201</v>
      </c>
      <c r="E4" s="6" t="s">
        <v>237</v>
      </c>
      <c r="F4" s="6" t="s">
        <v>240</v>
      </c>
      <c r="G4" s="6" t="s">
        <v>243</v>
      </c>
      <c r="H4" s="6" t="s">
        <v>42</v>
      </c>
      <c r="I4" s="5" t="s">
        <v>104</v>
      </c>
      <c r="J4" s="5" t="s">
        <v>47</v>
      </c>
      <c r="K4" s="5"/>
    </row>
    <row r="5" ht="78.75" customHeight="1">
      <c r="A5" s="5" t="s">
        <v>246</v>
      </c>
      <c r="B5" s="5" t="s">
        <v>230</v>
      </c>
      <c r="C5" s="6" t="s">
        <v>251</v>
      </c>
      <c r="D5" s="6" t="s">
        <v>201</v>
      </c>
      <c r="E5" s="6" t="s">
        <v>255</v>
      </c>
      <c r="F5" s="6" t="s">
        <v>257</v>
      </c>
      <c r="G5" s="6" t="s">
        <v>260</v>
      </c>
      <c r="H5" s="6" t="s">
        <v>263</v>
      </c>
      <c r="I5" s="5" t="s">
        <v>104</v>
      </c>
      <c r="J5" s="5" t="s">
        <v>141</v>
      </c>
      <c r="K5" s="5" t="s">
        <v>265</v>
      </c>
    </row>
    <row r="6" ht="78.75" customHeight="1">
      <c r="A6" s="5" t="s">
        <v>267</v>
      </c>
      <c r="B6" s="5" t="s">
        <v>230</v>
      </c>
      <c r="C6" s="6" t="s">
        <v>270</v>
      </c>
      <c r="D6" s="6" t="s">
        <v>201</v>
      </c>
      <c r="E6" s="6" t="s">
        <v>275</v>
      </c>
      <c r="F6" s="6" t="s">
        <v>277</v>
      </c>
      <c r="G6" s="6" t="s">
        <v>280</v>
      </c>
      <c r="H6" s="6" t="s">
        <v>42</v>
      </c>
      <c r="I6" s="5" t="s">
        <v>44</v>
      </c>
      <c r="J6" s="5" t="s">
        <v>47</v>
      </c>
      <c r="K6"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I2:I6">
    <cfRule type="containsText" dxfId="5" priority="1" operator="containsText" text="P0">
      <formula>NOT(ISERROR(SEARCH(("P0"),(I2))))</formula>
    </cfRule>
  </conditionalFormatting>
  <conditionalFormatting sqref="I2:I6">
    <cfRule type="containsText" dxfId="6" priority="2" operator="containsText" text="P1">
      <formula>NOT(ISERROR(SEARCH(("P1"),(I2))))</formula>
    </cfRule>
  </conditionalFormatting>
  <conditionalFormatting sqref="I2:I6">
    <cfRule type="containsText" dxfId="7" priority="3" operator="containsText" text="P2">
      <formula>NOT(ISERROR(SEARCH(("P2"),(I2))))</formula>
    </cfRule>
  </conditionalFormatting>
  <conditionalFormatting sqref="J2:J6">
    <cfRule type="containsText" dxfId="8" priority="4" operator="containsText" text="Pass">
      <formula>NOT(ISERROR(SEARCH(("Pass"),(J2))))</formula>
    </cfRule>
  </conditionalFormatting>
  <conditionalFormatting sqref="J2:J6">
    <cfRule type="containsText" dxfId="5" priority="5" operator="containsText" text="Fail">
      <formula>NOT(ISERROR(SEARCH(("Fail"),(J2))))</formula>
    </cfRule>
  </conditionalFormatting>
  <conditionalFormatting sqref="J2:J6">
    <cfRule type="containsText" dxfId="6" priority="6" operator="containsText" text="Blocked">
      <formula>NOT(ISERROR(SEARCH(("Blocked"),(J2))))</formula>
    </cfRule>
  </conditionalFormatting>
  <conditionalFormatting sqref="J2:J6">
    <cfRule type="containsText" dxfId="9" priority="7" operator="containsText" text="Not Executed">
      <formula>NOT(ISERROR(SEARCH(("Not Executed"),(J2))))</formula>
    </cfRule>
  </conditionalFormatting>
  <dataValidations>
    <dataValidation type="list" allowBlank="1" sqref="J2:J6">
      <formula1>"Pass,Fail,Blocked,Not Executed"</formula1>
    </dataValidation>
    <dataValidation type="list" allowBlank="1" sqref="I2:I6">
      <formula1>"P0,P1,P2"</formula1>
    </dataValidation>
  </dataValidation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7F6000"/>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2.5"/>
    <col customWidth="1" min="2" max="2" width="20.0"/>
    <col customWidth="1" min="3" max="3" width="24.5"/>
    <col customWidth="1" min="4" max="4" width="23.38"/>
    <col customWidth="1" min="5" max="5" width="36.63"/>
    <col customWidth="1" min="6" max="6" width="22.75"/>
    <col customWidth="1" min="7" max="7" width="33.38"/>
    <col customWidth="1" min="8" max="8" width="27.75"/>
    <col customWidth="1" min="9" max="9" width="8.0"/>
    <col customWidth="1" min="10" max="10" width="10.0"/>
    <col customWidth="1" min="11" max="11" width="15.0"/>
    <col customWidth="1" min="12" max="26" width="8.63"/>
  </cols>
  <sheetData>
    <row r="1">
      <c r="A1" s="2" t="s">
        <v>0</v>
      </c>
      <c r="B1" s="2" t="s">
        <v>3</v>
      </c>
      <c r="C1" s="2" t="s">
        <v>5</v>
      </c>
      <c r="D1" s="2" t="s">
        <v>9</v>
      </c>
      <c r="E1" s="2" t="s">
        <v>13</v>
      </c>
      <c r="F1" s="2" t="s">
        <v>14</v>
      </c>
      <c r="G1" s="2" t="s">
        <v>16</v>
      </c>
      <c r="H1" s="2" t="s">
        <v>18</v>
      </c>
      <c r="I1" s="2" t="s">
        <v>19</v>
      </c>
      <c r="J1" s="2" t="s">
        <v>20</v>
      </c>
      <c r="K1" s="2" t="s">
        <v>22</v>
      </c>
    </row>
    <row r="2" ht="78.75" customHeight="1">
      <c r="A2" s="5" t="s">
        <v>191</v>
      </c>
      <c r="B2" s="5" t="s">
        <v>192</v>
      </c>
      <c r="C2" s="6" t="s">
        <v>193</v>
      </c>
      <c r="D2" s="6" t="s">
        <v>194</v>
      </c>
      <c r="E2" s="6" t="s">
        <v>196</v>
      </c>
      <c r="F2" s="6" t="s">
        <v>205</v>
      </c>
      <c r="G2" s="6" t="s">
        <v>208</v>
      </c>
      <c r="H2" s="6" t="s">
        <v>210</v>
      </c>
      <c r="I2" s="5" t="s">
        <v>104</v>
      </c>
      <c r="J2" s="5" t="s">
        <v>141</v>
      </c>
      <c r="K2" s="5" t="s">
        <v>211</v>
      </c>
    </row>
    <row r="3" ht="78.75" customHeight="1">
      <c r="A3" s="5" t="s">
        <v>214</v>
      </c>
      <c r="B3" s="5" t="s">
        <v>192</v>
      </c>
      <c r="C3" s="6" t="s">
        <v>218</v>
      </c>
      <c r="D3" s="6" t="s">
        <v>194</v>
      </c>
      <c r="E3" s="6" t="s">
        <v>223</v>
      </c>
      <c r="F3" s="6" t="s">
        <v>225</v>
      </c>
      <c r="G3" s="6" t="s">
        <v>226</v>
      </c>
      <c r="H3" s="6" t="s">
        <v>42</v>
      </c>
      <c r="I3" s="5" t="s">
        <v>44</v>
      </c>
      <c r="J3" s="5" t="s">
        <v>47</v>
      </c>
      <c r="K3" s="5"/>
    </row>
    <row r="4" ht="78.75" customHeight="1">
      <c r="A4" s="5" t="s">
        <v>231</v>
      </c>
      <c r="B4" s="5" t="s">
        <v>234</v>
      </c>
      <c r="C4" s="6" t="s">
        <v>235</v>
      </c>
      <c r="D4" s="6" t="s">
        <v>194</v>
      </c>
      <c r="E4" s="6" t="s">
        <v>241</v>
      </c>
      <c r="F4" s="6" t="s">
        <v>244</v>
      </c>
      <c r="G4" s="6" t="s">
        <v>245</v>
      </c>
      <c r="H4" s="6" t="s">
        <v>42</v>
      </c>
      <c r="I4" s="5" t="s">
        <v>44</v>
      </c>
      <c r="J4" s="5" t="s">
        <v>47</v>
      </c>
      <c r="K4" s="5"/>
    </row>
    <row r="5" ht="78.75" customHeight="1">
      <c r="A5" s="5" t="s">
        <v>250</v>
      </c>
      <c r="B5" s="5" t="s">
        <v>192</v>
      </c>
      <c r="C5" s="6" t="s">
        <v>253</v>
      </c>
      <c r="D5" s="6" t="s">
        <v>194</v>
      </c>
      <c r="E5" s="6" t="s">
        <v>259</v>
      </c>
      <c r="F5" s="6" t="s">
        <v>261</v>
      </c>
      <c r="G5" s="6" t="s">
        <v>264</v>
      </c>
      <c r="H5" s="6" t="s">
        <v>42</v>
      </c>
      <c r="I5" s="5" t="s">
        <v>104</v>
      </c>
      <c r="J5" s="5" t="s">
        <v>47</v>
      </c>
      <c r="K5" s="5"/>
    </row>
    <row r="6" ht="78.75" customHeight="1">
      <c r="A6" s="5" t="s">
        <v>269</v>
      </c>
      <c r="B6" s="5" t="s">
        <v>272</v>
      </c>
      <c r="C6" s="6" t="s">
        <v>274</v>
      </c>
      <c r="D6" s="6" t="s">
        <v>194</v>
      </c>
      <c r="E6" s="6" t="s">
        <v>279</v>
      </c>
      <c r="F6" s="6" t="s">
        <v>240</v>
      </c>
      <c r="G6" s="6" t="s">
        <v>284</v>
      </c>
      <c r="H6" s="6" t="s">
        <v>42</v>
      </c>
      <c r="I6" s="5" t="s">
        <v>104</v>
      </c>
      <c r="J6" s="5" t="s">
        <v>47</v>
      </c>
      <c r="K6" s="5"/>
    </row>
    <row r="7" ht="78.75" customHeight="1">
      <c r="A7" s="5" t="s">
        <v>288</v>
      </c>
      <c r="B7" s="5" t="s">
        <v>272</v>
      </c>
      <c r="C7" s="6" t="s">
        <v>290</v>
      </c>
      <c r="D7" s="6" t="s">
        <v>194</v>
      </c>
      <c r="E7" s="6" t="s">
        <v>293</v>
      </c>
      <c r="F7" s="6" t="s">
        <v>296</v>
      </c>
      <c r="G7" s="6" t="s">
        <v>298</v>
      </c>
      <c r="H7" s="6" t="s">
        <v>42</v>
      </c>
      <c r="I7" s="5" t="s">
        <v>104</v>
      </c>
      <c r="J7" s="5" t="s">
        <v>47</v>
      </c>
      <c r="K7" s="5"/>
    </row>
    <row r="8" ht="78.75" customHeight="1">
      <c r="A8" s="5" t="s">
        <v>306</v>
      </c>
      <c r="B8" s="5" t="s">
        <v>307</v>
      </c>
      <c r="C8" s="6" t="s">
        <v>308</v>
      </c>
      <c r="D8" s="6" t="s">
        <v>194</v>
      </c>
      <c r="E8" s="6" t="s">
        <v>310</v>
      </c>
      <c r="F8" s="6" t="s">
        <v>311</v>
      </c>
      <c r="G8" s="6" t="s">
        <v>312</v>
      </c>
      <c r="H8" s="6" t="s">
        <v>42</v>
      </c>
      <c r="I8" s="5" t="s">
        <v>104</v>
      </c>
      <c r="J8" s="5" t="s">
        <v>47</v>
      </c>
      <c r="K8" s="5"/>
    </row>
    <row r="9" ht="78.75" customHeight="1">
      <c r="A9" s="5" t="s">
        <v>314</v>
      </c>
      <c r="B9" s="5" t="s">
        <v>307</v>
      </c>
      <c r="C9" s="6" t="s">
        <v>315</v>
      </c>
      <c r="D9" s="6" t="s">
        <v>194</v>
      </c>
      <c r="E9" s="6" t="s">
        <v>316</v>
      </c>
      <c r="F9" s="6" t="s">
        <v>317</v>
      </c>
      <c r="G9" s="6" t="s">
        <v>318</v>
      </c>
      <c r="H9" s="6" t="s">
        <v>42</v>
      </c>
      <c r="I9" s="5" t="s">
        <v>104</v>
      </c>
      <c r="J9" s="5" t="s">
        <v>47</v>
      </c>
      <c r="K9" s="5"/>
    </row>
    <row r="10" ht="78.75" customHeight="1">
      <c r="A10" s="5" t="s">
        <v>320</v>
      </c>
      <c r="B10" s="5" t="s">
        <v>307</v>
      </c>
      <c r="C10" s="6" t="s">
        <v>321</v>
      </c>
      <c r="D10" s="6" t="s">
        <v>194</v>
      </c>
      <c r="E10" s="6" t="s">
        <v>322</v>
      </c>
      <c r="F10" s="6" t="s">
        <v>323</v>
      </c>
      <c r="G10" s="6" t="s">
        <v>324</v>
      </c>
      <c r="H10" s="6" t="s">
        <v>42</v>
      </c>
      <c r="I10" s="5" t="s">
        <v>104</v>
      </c>
      <c r="J10" s="5" t="s">
        <v>47</v>
      </c>
      <c r="K10" s="5"/>
    </row>
    <row r="11" ht="78.75" customHeight="1">
      <c r="A11" s="5" t="s">
        <v>326</v>
      </c>
      <c r="B11" s="5" t="s">
        <v>307</v>
      </c>
      <c r="C11" s="6" t="s">
        <v>327</v>
      </c>
      <c r="D11" s="6" t="s">
        <v>194</v>
      </c>
      <c r="E11" s="6" t="s">
        <v>328</v>
      </c>
      <c r="F11" s="6" t="s">
        <v>329</v>
      </c>
      <c r="G11" s="6" t="s">
        <v>330</v>
      </c>
      <c r="H11" s="6" t="s">
        <v>42</v>
      </c>
      <c r="I11" s="5" t="s">
        <v>332</v>
      </c>
      <c r="J11" s="5" t="s">
        <v>47</v>
      </c>
      <c r="K11" s="5"/>
    </row>
    <row r="12" ht="78.75" customHeight="1">
      <c r="A12" s="5" t="s">
        <v>333</v>
      </c>
      <c r="B12" s="5" t="s">
        <v>334</v>
      </c>
      <c r="C12" s="6" t="s">
        <v>335</v>
      </c>
      <c r="D12" s="6" t="s">
        <v>194</v>
      </c>
      <c r="E12" s="6" t="s">
        <v>336</v>
      </c>
      <c r="F12" s="6" t="s">
        <v>338</v>
      </c>
      <c r="G12" s="6" t="s">
        <v>339</v>
      </c>
      <c r="H12" s="6" t="s">
        <v>42</v>
      </c>
      <c r="I12" s="5" t="s">
        <v>44</v>
      </c>
      <c r="J12" s="5" t="s">
        <v>47</v>
      </c>
      <c r="K12" s="5"/>
    </row>
    <row r="13" ht="78.75" customHeight="1">
      <c r="A13" s="5" t="s">
        <v>340</v>
      </c>
      <c r="B13" s="5" t="s">
        <v>342</v>
      </c>
      <c r="C13" s="6" t="s">
        <v>343</v>
      </c>
      <c r="D13" s="6" t="s">
        <v>194</v>
      </c>
      <c r="E13" s="6" t="s">
        <v>344</v>
      </c>
      <c r="F13" s="6" t="s">
        <v>345</v>
      </c>
      <c r="G13" s="6" t="s">
        <v>346</v>
      </c>
      <c r="H13" s="6" t="s">
        <v>347</v>
      </c>
      <c r="I13" s="5" t="s">
        <v>44</v>
      </c>
      <c r="J13" s="5" t="s">
        <v>47</v>
      </c>
      <c r="K13" s="5" t="s">
        <v>349</v>
      </c>
    </row>
    <row r="14" ht="78.75" customHeight="1">
      <c r="A14" s="5" t="s">
        <v>350</v>
      </c>
      <c r="B14" s="5" t="s">
        <v>334</v>
      </c>
      <c r="C14" s="6" t="s">
        <v>352</v>
      </c>
      <c r="D14" s="6" t="s">
        <v>194</v>
      </c>
      <c r="E14" s="6" t="s">
        <v>353</v>
      </c>
      <c r="F14" s="6" t="s">
        <v>354</v>
      </c>
      <c r="G14" s="6" t="s">
        <v>355</v>
      </c>
      <c r="H14" s="6" t="s">
        <v>42</v>
      </c>
      <c r="I14" s="5" t="s">
        <v>44</v>
      </c>
      <c r="J14" s="5" t="s">
        <v>47</v>
      </c>
      <c r="K14" s="5"/>
    </row>
    <row r="15" ht="78.75" customHeight="1">
      <c r="A15" s="5" t="s">
        <v>357</v>
      </c>
      <c r="B15" s="5" t="s">
        <v>334</v>
      </c>
      <c r="C15" s="6" t="s">
        <v>358</v>
      </c>
      <c r="D15" s="6" t="s">
        <v>194</v>
      </c>
      <c r="E15" s="6" t="s">
        <v>359</v>
      </c>
      <c r="F15" s="6" t="s">
        <v>361</v>
      </c>
      <c r="G15" s="6" t="s">
        <v>362</v>
      </c>
      <c r="H15" s="6" t="s">
        <v>42</v>
      </c>
      <c r="I15" s="5" t="s">
        <v>104</v>
      </c>
      <c r="J15" s="5" t="s">
        <v>47</v>
      </c>
      <c r="K15" s="5"/>
    </row>
    <row r="16" ht="78.75" customHeight="1">
      <c r="A16" s="5" t="s">
        <v>363</v>
      </c>
      <c r="B16" s="5" t="s">
        <v>364</v>
      </c>
      <c r="C16" s="6" t="s">
        <v>365</v>
      </c>
      <c r="D16" s="6" t="s">
        <v>194</v>
      </c>
      <c r="E16" s="6" t="s">
        <v>367</v>
      </c>
      <c r="F16" s="6" t="s">
        <v>368</v>
      </c>
      <c r="G16" s="6" t="s">
        <v>369</v>
      </c>
      <c r="H16" s="6" t="s">
        <v>42</v>
      </c>
      <c r="I16" s="5" t="s">
        <v>104</v>
      </c>
      <c r="J16" s="5" t="s">
        <v>47</v>
      </c>
      <c r="K16"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I2:I16">
    <cfRule type="containsText" dxfId="5" priority="1" operator="containsText" text="P0">
      <formula>NOT(ISERROR(SEARCH(("P0"),(I2))))</formula>
    </cfRule>
  </conditionalFormatting>
  <conditionalFormatting sqref="I2:I16">
    <cfRule type="containsText" dxfId="6" priority="2" operator="containsText" text="P1">
      <formula>NOT(ISERROR(SEARCH(("P1"),(I2))))</formula>
    </cfRule>
  </conditionalFormatting>
  <conditionalFormatting sqref="I2:I16">
    <cfRule type="containsText" dxfId="7" priority="3" operator="containsText" text="P2">
      <formula>NOT(ISERROR(SEARCH(("P2"),(I2))))</formula>
    </cfRule>
  </conditionalFormatting>
  <conditionalFormatting sqref="J2:J16">
    <cfRule type="containsText" dxfId="8" priority="4" operator="containsText" text="Pass">
      <formula>NOT(ISERROR(SEARCH(("Pass"),(J2))))</formula>
    </cfRule>
  </conditionalFormatting>
  <conditionalFormatting sqref="J2:J16">
    <cfRule type="containsText" dxfId="5" priority="5" operator="containsText" text="Fail">
      <formula>NOT(ISERROR(SEARCH(("Fail"),(J2))))</formula>
    </cfRule>
  </conditionalFormatting>
  <conditionalFormatting sqref="J2:J16">
    <cfRule type="containsText" dxfId="6" priority="6" operator="containsText" text="Blocked">
      <formula>NOT(ISERROR(SEARCH(("Blocked"),(J2))))</formula>
    </cfRule>
  </conditionalFormatting>
  <conditionalFormatting sqref="J2:J16">
    <cfRule type="containsText" dxfId="9" priority="7" operator="containsText" text="Not Executed">
      <formula>NOT(ISERROR(SEARCH(("Not Executed"),(J2))))</formula>
    </cfRule>
  </conditionalFormatting>
  <dataValidations>
    <dataValidation type="list" allowBlank="1" sqref="J2:J16">
      <formula1>"Pass,Fail,Blocked,Not Executed"</formula1>
    </dataValidation>
    <dataValidation type="list" allowBlank="1" sqref="I2:I16">
      <formula1>"P0,P1,P2"</formula1>
    </dataValidation>
  </dataValidations>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48235"/>
    <pageSetUpPr/>
  </sheetPr>
  <sheetViews>
    <sheetView showGridLines="0" workbookViewId="0">
      <pane ySplit="10.0" topLeftCell="A11" activePane="bottomLeft" state="frozen"/>
      <selection activeCell="B12" sqref="B12" pane="bottomLeft"/>
    </sheetView>
  </sheetViews>
  <sheetFormatPr customHeight="1" defaultColWidth="12.63" defaultRowHeight="15.0"/>
  <cols>
    <col customWidth="1" min="1" max="1" width="12.75"/>
    <col customWidth="1" min="2" max="2" width="46.63"/>
    <col customWidth="1" min="3" max="3" width="17.75"/>
    <col customWidth="1" min="4" max="4" width="11.63"/>
    <col customWidth="1" min="5" max="5" width="13.38"/>
    <col customWidth="1" min="6" max="6" width="10.5"/>
    <col customWidth="1" min="7" max="7" width="12.75"/>
    <col customWidth="1" min="8" max="8" width="15.0"/>
    <col customWidth="1" min="9" max="26" width="8.63"/>
  </cols>
  <sheetData>
    <row r="1" ht="22.5" customHeight="1">
      <c r="A1" s="7" t="s">
        <v>227</v>
      </c>
    </row>
    <row r="3">
      <c r="A3" s="8" t="s">
        <v>238</v>
      </c>
      <c r="B3" s="9">
        <f>COUNTA(A11:A58)</f>
        <v>48</v>
      </c>
      <c r="D3" s="8" t="s">
        <v>248</v>
      </c>
      <c r="E3" s="9">
        <f>COUNTA(E11:E58)</f>
        <v>48</v>
      </c>
      <c r="G3" s="8" t="s">
        <v>254</v>
      </c>
      <c r="H3" s="10">
        <f>IF(B3=0,0,E3/B3)</f>
        <v>1</v>
      </c>
    </row>
    <row r="4">
      <c r="A4" s="8" t="s">
        <v>266</v>
      </c>
      <c r="B4" s="9">
        <f>COUNTIF(F11:F58,"Pass")</f>
        <v>45</v>
      </c>
      <c r="D4" s="8" t="s">
        <v>271</v>
      </c>
      <c r="E4" s="9">
        <f>COUNTIF(F11:F58,"Fail")</f>
        <v>3</v>
      </c>
      <c r="G4" s="8" t="s">
        <v>276</v>
      </c>
      <c r="H4" s="9">
        <f>COUNTIF(F11:F58,"Blocked")</f>
        <v>0</v>
      </c>
    </row>
    <row r="5">
      <c r="A5" s="8" t="s">
        <v>283</v>
      </c>
      <c r="B5" s="9">
        <f>COUNTIF(F11:F58,"Not Executed")</f>
        <v>0</v>
      </c>
      <c r="D5" s="8" t="s">
        <v>285</v>
      </c>
      <c r="E5" s="9">
        <f>COUNTIF(H11:H58,"Opened")+COUNTIF(H11:H58,"Assigned")+COUNTIF(H11:H58,"Ready for Re-Test")</f>
        <v>3</v>
      </c>
      <c r="G5" s="8" t="s">
        <v>286</v>
      </c>
      <c r="H5" s="9">
        <f>COUNTIF(H11:H58,"Closed")</f>
        <v>1</v>
      </c>
    </row>
    <row r="10">
      <c r="A10" s="2" t="s">
        <v>291</v>
      </c>
      <c r="B10" s="2" t="s">
        <v>295</v>
      </c>
      <c r="C10" s="2" t="s">
        <v>299</v>
      </c>
      <c r="D10" s="2" t="s">
        <v>300</v>
      </c>
      <c r="E10" s="2" t="s">
        <v>301</v>
      </c>
      <c r="F10" s="2" t="s">
        <v>302</v>
      </c>
      <c r="G10" s="2" t="s">
        <v>303</v>
      </c>
      <c r="H10" s="2" t="s">
        <v>304</v>
      </c>
    </row>
    <row r="11" ht="39.0" customHeight="1">
      <c r="A11" s="5" t="s">
        <v>305</v>
      </c>
      <c r="B11" s="6" t="s">
        <v>39</v>
      </c>
      <c r="C11" s="5" t="s">
        <v>36</v>
      </c>
      <c r="D11" s="5" t="s">
        <v>309</v>
      </c>
      <c r="E11" s="5" t="s">
        <v>23</v>
      </c>
      <c r="F11" s="5" t="s">
        <v>47</v>
      </c>
      <c r="G11" s="5"/>
      <c r="H11" s="5"/>
    </row>
    <row r="12" ht="39.0" customHeight="1">
      <c r="A12" s="5" t="s">
        <v>313</v>
      </c>
      <c r="B12" s="6" t="s">
        <v>63</v>
      </c>
      <c r="C12" s="5" t="s">
        <v>36</v>
      </c>
      <c r="D12" s="5" t="s">
        <v>309</v>
      </c>
      <c r="E12" s="5" t="s">
        <v>49</v>
      </c>
      <c r="F12" s="5" t="s">
        <v>47</v>
      </c>
      <c r="G12" s="5"/>
      <c r="H12" s="5"/>
    </row>
    <row r="13" ht="39.0" customHeight="1">
      <c r="A13" s="5" t="s">
        <v>319</v>
      </c>
      <c r="B13" s="6" t="s">
        <v>81</v>
      </c>
      <c r="C13" s="5" t="s">
        <v>50</v>
      </c>
      <c r="D13" s="5" t="s">
        <v>309</v>
      </c>
      <c r="E13" s="5" t="s">
        <v>70</v>
      </c>
      <c r="F13" s="5" t="s">
        <v>47</v>
      </c>
      <c r="G13" s="5"/>
      <c r="H13" s="5"/>
    </row>
    <row r="14" ht="39.0" customHeight="1">
      <c r="A14" s="5" t="s">
        <v>325</v>
      </c>
      <c r="B14" s="6" t="s">
        <v>99</v>
      </c>
      <c r="C14" s="5" t="s">
        <v>36</v>
      </c>
      <c r="D14" s="5" t="s">
        <v>309</v>
      </c>
      <c r="E14" s="5" t="s">
        <v>90</v>
      </c>
      <c r="F14" s="5" t="s">
        <v>47</v>
      </c>
      <c r="G14" s="5"/>
      <c r="H14" s="5"/>
    </row>
    <row r="15" ht="39.0" customHeight="1">
      <c r="A15" s="5" t="s">
        <v>331</v>
      </c>
      <c r="B15" s="6" t="s">
        <v>123</v>
      </c>
      <c r="C15" s="5" t="s">
        <v>50</v>
      </c>
      <c r="D15" s="5" t="s">
        <v>309</v>
      </c>
      <c r="E15" s="5" t="s">
        <v>110</v>
      </c>
      <c r="F15" s="5" t="s">
        <v>47</v>
      </c>
      <c r="G15" s="5"/>
      <c r="H15" s="5"/>
    </row>
    <row r="16" ht="39.0" customHeight="1">
      <c r="A16" s="5" t="s">
        <v>337</v>
      </c>
      <c r="B16" s="6" t="s">
        <v>142</v>
      </c>
      <c r="C16" s="5" t="s">
        <v>50</v>
      </c>
      <c r="D16" s="5" t="s">
        <v>309</v>
      </c>
      <c r="E16" s="5" t="s">
        <v>128</v>
      </c>
      <c r="F16" s="5" t="s">
        <v>47</v>
      </c>
      <c r="G16" s="5"/>
      <c r="H16" s="5"/>
    </row>
    <row r="17" ht="39.0" customHeight="1">
      <c r="A17" s="5" t="s">
        <v>341</v>
      </c>
      <c r="B17" s="6" t="s">
        <v>162</v>
      </c>
      <c r="C17" s="5" t="s">
        <v>36</v>
      </c>
      <c r="D17" s="5" t="s">
        <v>309</v>
      </c>
      <c r="E17" s="5" t="s">
        <v>150</v>
      </c>
      <c r="F17" s="5" t="s">
        <v>47</v>
      </c>
      <c r="G17" s="5"/>
      <c r="H17" s="5"/>
    </row>
    <row r="18" ht="39.0" customHeight="1">
      <c r="A18" s="5" t="s">
        <v>348</v>
      </c>
      <c r="B18" s="6" t="s">
        <v>64</v>
      </c>
      <c r="C18" s="5" t="s">
        <v>66</v>
      </c>
      <c r="D18" s="5" t="s">
        <v>351</v>
      </c>
      <c r="E18" s="5" t="s">
        <v>46</v>
      </c>
      <c r="F18" s="5" t="s">
        <v>47</v>
      </c>
      <c r="G18" s="5"/>
      <c r="H18" s="5"/>
    </row>
    <row r="19" ht="39.0" customHeight="1">
      <c r="A19" s="5" t="s">
        <v>356</v>
      </c>
      <c r="B19" s="6" t="s">
        <v>84</v>
      </c>
      <c r="C19" s="5" t="s">
        <v>66</v>
      </c>
      <c r="D19" s="5" t="s">
        <v>351</v>
      </c>
      <c r="E19" s="5" t="s">
        <v>72</v>
      </c>
      <c r="F19" s="5" t="s">
        <v>47</v>
      </c>
      <c r="G19" s="5"/>
      <c r="H19" s="5"/>
    </row>
    <row r="20" ht="39.0" customHeight="1">
      <c r="A20" s="5" t="s">
        <v>360</v>
      </c>
      <c r="B20" s="6" t="s">
        <v>105</v>
      </c>
      <c r="C20" s="5" t="s">
        <v>66</v>
      </c>
      <c r="D20" s="5" t="s">
        <v>351</v>
      </c>
      <c r="E20" s="5" t="s">
        <v>92</v>
      </c>
      <c r="F20" s="5" t="s">
        <v>47</v>
      </c>
      <c r="G20" s="5"/>
      <c r="H20" s="5"/>
    </row>
    <row r="21" ht="39.0" customHeight="1">
      <c r="A21" s="5" t="s">
        <v>366</v>
      </c>
      <c r="B21" s="6" t="s">
        <v>124</v>
      </c>
      <c r="C21" s="5" t="s">
        <v>73</v>
      </c>
      <c r="D21" s="5" t="s">
        <v>351</v>
      </c>
      <c r="E21" s="5" t="s">
        <v>113</v>
      </c>
      <c r="F21" s="5" t="s">
        <v>47</v>
      </c>
      <c r="G21" s="5"/>
      <c r="H21" s="5"/>
    </row>
    <row r="22" ht="39.0" customHeight="1">
      <c r="A22" s="5" t="s">
        <v>370</v>
      </c>
      <c r="B22" s="6" t="s">
        <v>146</v>
      </c>
      <c r="C22" s="5" t="s">
        <v>73</v>
      </c>
      <c r="D22" s="5" t="s">
        <v>351</v>
      </c>
      <c r="E22" s="5" t="s">
        <v>130</v>
      </c>
      <c r="F22" s="5" t="s">
        <v>47</v>
      </c>
      <c r="G22" s="5"/>
      <c r="H22" s="5"/>
    </row>
    <row r="23" ht="39.0" customHeight="1">
      <c r="A23" s="5" t="s">
        <v>371</v>
      </c>
      <c r="B23" s="6" t="s">
        <v>166</v>
      </c>
      <c r="C23" s="5" t="s">
        <v>73</v>
      </c>
      <c r="D23" s="5" t="s">
        <v>351</v>
      </c>
      <c r="E23" s="5" t="s">
        <v>154</v>
      </c>
      <c r="F23" s="5" t="s">
        <v>47</v>
      </c>
      <c r="G23" s="5"/>
      <c r="H23" s="5"/>
    </row>
    <row r="24" ht="39.0" customHeight="1">
      <c r="A24" s="5" t="s">
        <v>372</v>
      </c>
      <c r="B24" s="6" t="s">
        <v>41</v>
      </c>
      <c r="C24" s="5" t="s">
        <v>87</v>
      </c>
      <c r="D24" s="5" t="s">
        <v>373</v>
      </c>
      <c r="E24" s="5" t="s">
        <v>25</v>
      </c>
      <c r="F24" s="5" t="s">
        <v>47</v>
      </c>
      <c r="G24" s="5"/>
      <c r="H24" s="5"/>
    </row>
    <row r="25" ht="39.0" customHeight="1">
      <c r="A25" s="5" t="s">
        <v>374</v>
      </c>
      <c r="B25" s="6" t="s">
        <v>67</v>
      </c>
      <c r="C25" s="5" t="s">
        <v>94</v>
      </c>
      <c r="D25" s="5" t="s">
        <v>373</v>
      </c>
      <c r="E25" s="5" t="s">
        <v>51</v>
      </c>
      <c r="F25" s="5" t="s">
        <v>47</v>
      </c>
      <c r="G25" s="5"/>
      <c r="H25" s="5"/>
    </row>
    <row r="26" ht="39.0" customHeight="1">
      <c r="A26" s="5" t="s">
        <v>375</v>
      </c>
      <c r="B26" s="6" t="s">
        <v>88</v>
      </c>
      <c r="C26" s="5" t="s">
        <v>87</v>
      </c>
      <c r="D26" s="5" t="s">
        <v>373</v>
      </c>
      <c r="E26" s="5" t="s">
        <v>75</v>
      </c>
      <c r="F26" s="5" t="s">
        <v>47</v>
      </c>
      <c r="G26" s="5"/>
      <c r="H26" s="5"/>
    </row>
    <row r="27" ht="39.0" customHeight="1">
      <c r="A27" s="5" t="s">
        <v>376</v>
      </c>
      <c r="B27" s="6" t="s">
        <v>109</v>
      </c>
      <c r="C27" s="5" t="s">
        <v>94</v>
      </c>
      <c r="D27" s="5" t="s">
        <v>373</v>
      </c>
      <c r="E27" s="5" t="s">
        <v>97</v>
      </c>
      <c r="F27" s="5" t="s">
        <v>47</v>
      </c>
      <c r="G27" s="5"/>
      <c r="H27" s="5"/>
    </row>
    <row r="28" ht="39.0" customHeight="1">
      <c r="A28" s="5" t="s">
        <v>377</v>
      </c>
      <c r="B28" s="6" t="s">
        <v>132</v>
      </c>
      <c r="C28" s="5" t="s">
        <v>94</v>
      </c>
      <c r="D28" s="5" t="s">
        <v>373</v>
      </c>
      <c r="E28" s="5" t="s">
        <v>120</v>
      </c>
      <c r="F28" s="5" t="s">
        <v>141</v>
      </c>
      <c r="G28" s="5" t="s">
        <v>145</v>
      </c>
      <c r="H28" s="5" t="s">
        <v>378</v>
      </c>
    </row>
    <row r="29" ht="39.0" customHeight="1">
      <c r="A29" s="5" t="s">
        <v>379</v>
      </c>
      <c r="B29" s="6" t="s">
        <v>158</v>
      </c>
      <c r="C29" s="5" t="s">
        <v>87</v>
      </c>
      <c r="D29" s="5" t="s">
        <v>373</v>
      </c>
      <c r="E29" s="5" t="s">
        <v>147</v>
      </c>
      <c r="F29" s="5" t="s">
        <v>47</v>
      </c>
      <c r="G29" s="5"/>
      <c r="H29" s="5"/>
    </row>
    <row r="30" ht="39.0" customHeight="1">
      <c r="A30" s="5" t="s">
        <v>380</v>
      </c>
      <c r="B30" s="6" t="s">
        <v>174</v>
      </c>
      <c r="C30" s="5" t="s">
        <v>87</v>
      </c>
      <c r="D30" s="5" t="s">
        <v>373</v>
      </c>
      <c r="E30" s="5" t="s">
        <v>168</v>
      </c>
      <c r="F30" s="5" t="s">
        <v>47</v>
      </c>
      <c r="G30" s="5"/>
      <c r="H30" s="5"/>
    </row>
    <row r="31" ht="39.0" customHeight="1">
      <c r="A31" s="5" t="s">
        <v>381</v>
      </c>
      <c r="B31" s="6" t="s">
        <v>183</v>
      </c>
      <c r="C31" s="5" t="s">
        <v>94</v>
      </c>
      <c r="D31" s="5" t="s">
        <v>373</v>
      </c>
      <c r="E31" s="5" t="s">
        <v>179</v>
      </c>
      <c r="F31" s="5" t="s">
        <v>47</v>
      </c>
      <c r="G31" s="5"/>
      <c r="H31" s="5"/>
    </row>
    <row r="32" ht="39.0" customHeight="1">
      <c r="A32" s="5" t="s">
        <v>382</v>
      </c>
      <c r="B32" s="6" t="s">
        <v>190</v>
      </c>
      <c r="C32" s="5" t="s">
        <v>108</v>
      </c>
      <c r="D32" s="5" t="s">
        <v>383</v>
      </c>
      <c r="E32" s="5" t="s">
        <v>184</v>
      </c>
      <c r="F32" s="5" t="s">
        <v>47</v>
      </c>
      <c r="G32" s="5"/>
      <c r="H32" s="5"/>
    </row>
    <row r="33" ht="39.0" customHeight="1">
      <c r="A33" s="5" t="s">
        <v>384</v>
      </c>
      <c r="B33" s="6" t="s">
        <v>207</v>
      </c>
      <c r="C33" s="5" t="s">
        <v>108</v>
      </c>
      <c r="D33" s="5" t="s">
        <v>383</v>
      </c>
      <c r="E33" s="5" t="s">
        <v>195</v>
      </c>
      <c r="F33" s="5" t="s">
        <v>47</v>
      </c>
      <c r="G33" s="5"/>
      <c r="H33" s="5"/>
    </row>
    <row r="34" ht="39.0" customHeight="1">
      <c r="A34" s="5" t="s">
        <v>385</v>
      </c>
      <c r="B34" s="6" t="s">
        <v>222</v>
      </c>
      <c r="C34" s="5" t="s">
        <v>108</v>
      </c>
      <c r="D34" s="5" t="s">
        <v>383</v>
      </c>
      <c r="E34" s="5" t="s">
        <v>212</v>
      </c>
      <c r="F34" s="5" t="s">
        <v>47</v>
      </c>
      <c r="G34" s="5"/>
      <c r="H34" s="5"/>
    </row>
    <row r="35" ht="39.0" customHeight="1">
      <c r="A35" s="5" t="s">
        <v>386</v>
      </c>
      <c r="B35" s="6" t="s">
        <v>242</v>
      </c>
      <c r="C35" s="5" t="s">
        <v>108</v>
      </c>
      <c r="D35" s="5" t="s">
        <v>383</v>
      </c>
      <c r="E35" s="5" t="s">
        <v>228</v>
      </c>
      <c r="F35" s="5" t="s">
        <v>47</v>
      </c>
      <c r="G35" s="5"/>
      <c r="H35" s="5"/>
    </row>
    <row r="36" ht="39.0" customHeight="1">
      <c r="A36" s="5" t="s">
        <v>387</v>
      </c>
      <c r="B36" s="6" t="s">
        <v>262</v>
      </c>
      <c r="C36" s="5" t="s">
        <v>122</v>
      </c>
      <c r="D36" s="5" t="s">
        <v>383</v>
      </c>
      <c r="E36" s="5" t="s">
        <v>247</v>
      </c>
      <c r="F36" s="5" t="s">
        <v>47</v>
      </c>
      <c r="G36" s="5"/>
      <c r="H36" s="5"/>
    </row>
    <row r="37" ht="39.0" customHeight="1">
      <c r="A37" s="5" t="s">
        <v>388</v>
      </c>
      <c r="B37" s="6" t="s">
        <v>282</v>
      </c>
      <c r="C37" s="5" t="s">
        <v>122</v>
      </c>
      <c r="D37" s="5" t="s">
        <v>383</v>
      </c>
      <c r="E37" s="5" t="s">
        <v>268</v>
      </c>
      <c r="F37" s="5" t="s">
        <v>47</v>
      </c>
      <c r="G37" s="5"/>
      <c r="H37" s="5"/>
    </row>
    <row r="38" ht="39.0" customHeight="1">
      <c r="A38" s="5" t="s">
        <v>389</v>
      </c>
      <c r="B38" s="6" t="s">
        <v>297</v>
      </c>
      <c r="C38" s="5" t="s">
        <v>122</v>
      </c>
      <c r="D38" s="5" t="s">
        <v>383</v>
      </c>
      <c r="E38" s="5" t="s">
        <v>287</v>
      </c>
      <c r="F38" s="5" t="s">
        <v>47</v>
      </c>
      <c r="G38" s="5"/>
      <c r="H38" s="5"/>
    </row>
    <row r="39" ht="39.0" customHeight="1">
      <c r="A39" s="5" t="s">
        <v>390</v>
      </c>
      <c r="B39" s="6" t="s">
        <v>209</v>
      </c>
      <c r="C39" s="5" t="s">
        <v>131</v>
      </c>
      <c r="D39" s="5" t="s">
        <v>391</v>
      </c>
      <c r="E39" s="5" t="s">
        <v>197</v>
      </c>
      <c r="F39" s="5" t="s">
        <v>47</v>
      </c>
      <c r="G39" s="5"/>
      <c r="H39" s="5"/>
    </row>
    <row r="40" ht="39.0" customHeight="1">
      <c r="A40" s="5" t="s">
        <v>392</v>
      </c>
      <c r="B40" s="6" t="s">
        <v>224</v>
      </c>
      <c r="C40" s="5" t="s">
        <v>131</v>
      </c>
      <c r="D40" s="5" t="s">
        <v>391</v>
      </c>
      <c r="E40" s="5" t="s">
        <v>213</v>
      </c>
      <c r="F40" s="5" t="s">
        <v>47</v>
      </c>
      <c r="G40" s="5"/>
      <c r="H40" s="5"/>
    </row>
    <row r="41" ht="39.0" customHeight="1">
      <c r="A41" s="5" t="s">
        <v>393</v>
      </c>
      <c r="B41" s="6" t="s">
        <v>243</v>
      </c>
      <c r="C41" s="5" t="s">
        <v>143</v>
      </c>
      <c r="D41" s="5" t="s">
        <v>391</v>
      </c>
      <c r="E41" s="5" t="s">
        <v>229</v>
      </c>
      <c r="F41" s="5" t="s">
        <v>47</v>
      </c>
      <c r="G41" s="5"/>
      <c r="H41" s="5"/>
    </row>
    <row r="42" ht="39.0" customHeight="1">
      <c r="A42" s="5" t="s">
        <v>394</v>
      </c>
      <c r="B42" s="6" t="s">
        <v>260</v>
      </c>
      <c r="C42" s="5" t="s">
        <v>143</v>
      </c>
      <c r="D42" s="5" t="s">
        <v>391</v>
      </c>
      <c r="E42" s="5" t="s">
        <v>246</v>
      </c>
      <c r="F42" s="5" t="s">
        <v>141</v>
      </c>
      <c r="G42" s="5" t="s">
        <v>265</v>
      </c>
      <c r="H42" s="5" t="s">
        <v>395</v>
      </c>
    </row>
    <row r="43" ht="39.0" customHeight="1">
      <c r="A43" s="5" t="s">
        <v>396</v>
      </c>
      <c r="B43" s="6" t="s">
        <v>280</v>
      </c>
      <c r="C43" s="5" t="s">
        <v>143</v>
      </c>
      <c r="D43" s="5" t="s">
        <v>391</v>
      </c>
      <c r="E43" s="5" t="s">
        <v>267</v>
      </c>
      <c r="F43" s="5" t="s">
        <v>47</v>
      </c>
      <c r="G43" s="5"/>
      <c r="H43" s="5"/>
    </row>
    <row r="44" ht="39.0" customHeight="1">
      <c r="A44" s="5" t="s">
        <v>397</v>
      </c>
      <c r="B44" s="6" t="s">
        <v>208</v>
      </c>
      <c r="C44" s="5" t="s">
        <v>151</v>
      </c>
      <c r="D44" s="5" t="s">
        <v>398</v>
      </c>
      <c r="E44" s="5" t="s">
        <v>191</v>
      </c>
      <c r="F44" s="5" t="s">
        <v>141</v>
      </c>
      <c r="G44" s="5" t="s">
        <v>211</v>
      </c>
      <c r="H44" s="5" t="s">
        <v>399</v>
      </c>
    </row>
    <row r="45" ht="39.0" customHeight="1">
      <c r="A45" s="5" t="s">
        <v>400</v>
      </c>
      <c r="B45" s="6" t="s">
        <v>226</v>
      </c>
      <c r="C45" s="5" t="s">
        <v>151</v>
      </c>
      <c r="D45" s="5" t="s">
        <v>398</v>
      </c>
      <c r="E45" s="5" t="s">
        <v>214</v>
      </c>
      <c r="F45" s="5" t="s">
        <v>47</v>
      </c>
      <c r="G45" s="5"/>
      <c r="H45" s="5"/>
    </row>
    <row r="46" ht="39.0" customHeight="1">
      <c r="A46" s="5" t="s">
        <v>401</v>
      </c>
      <c r="B46" s="6" t="s">
        <v>245</v>
      </c>
      <c r="C46" s="5" t="s">
        <v>402</v>
      </c>
      <c r="D46" s="5" t="s">
        <v>398</v>
      </c>
      <c r="E46" s="5" t="s">
        <v>231</v>
      </c>
      <c r="F46" s="5" t="s">
        <v>47</v>
      </c>
      <c r="G46" s="5"/>
      <c r="H46" s="5"/>
    </row>
    <row r="47" ht="39.0" customHeight="1">
      <c r="A47" s="5" t="s">
        <v>403</v>
      </c>
      <c r="B47" s="6" t="s">
        <v>264</v>
      </c>
      <c r="C47" s="5" t="s">
        <v>151</v>
      </c>
      <c r="D47" s="5" t="s">
        <v>398</v>
      </c>
      <c r="E47" s="5" t="s">
        <v>250</v>
      </c>
      <c r="F47" s="5" t="s">
        <v>47</v>
      </c>
      <c r="G47" s="5"/>
      <c r="H47" s="5"/>
    </row>
    <row r="48" ht="39.0" customHeight="1">
      <c r="A48" s="5" t="s">
        <v>404</v>
      </c>
      <c r="B48" s="6" t="s">
        <v>284</v>
      </c>
      <c r="C48" s="5" t="s">
        <v>164</v>
      </c>
      <c r="D48" s="5" t="s">
        <v>398</v>
      </c>
      <c r="E48" s="5" t="s">
        <v>269</v>
      </c>
      <c r="F48" s="5" t="s">
        <v>47</v>
      </c>
      <c r="G48" s="5"/>
      <c r="H48" s="5"/>
    </row>
    <row r="49" ht="39.0" customHeight="1">
      <c r="A49" s="5" t="s">
        <v>405</v>
      </c>
      <c r="B49" s="6" t="s">
        <v>298</v>
      </c>
      <c r="C49" s="5" t="s">
        <v>164</v>
      </c>
      <c r="D49" s="5" t="s">
        <v>398</v>
      </c>
      <c r="E49" s="5" t="s">
        <v>288</v>
      </c>
      <c r="F49" s="5" t="s">
        <v>47</v>
      </c>
      <c r="G49" s="5"/>
      <c r="H49" s="5"/>
    </row>
    <row r="50" ht="39.0" customHeight="1">
      <c r="A50" s="5" t="s">
        <v>406</v>
      </c>
      <c r="B50" s="6" t="s">
        <v>312</v>
      </c>
      <c r="C50" s="5" t="s">
        <v>170</v>
      </c>
      <c r="D50" s="5" t="s">
        <v>398</v>
      </c>
      <c r="E50" s="5" t="s">
        <v>306</v>
      </c>
      <c r="F50" s="5" t="s">
        <v>47</v>
      </c>
      <c r="G50" s="5"/>
      <c r="H50" s="5"/>
    </row>
    <row r="51" ht="39.0" customHeight="1">
      <c r="A51" s="5" t="s">
        <v>407</v>
      </c>
      <c r="B51" s="6" t="s">
        <v>318</v>
      </c>
      <c r="C51" s="5" t="s">
        <v>170</v>
      </c>
      <c r="D51" s="5" t="s">
        <v>398</v>
      </c>
      <c r="E51" s="5" t="s">
        <v>314</v>
      </c>
      <c r="F51" s="5" t="s">
        <v>47</v>
      </c>
      <c r="G51" s="5"/>
      <c r="H51" s="5"/>
    </row>
    <row r="52" ht="39.0" customHeight="1">
      <c r="A52" s="5" t="s">
        <v>408</v>
      </c>
      <c r="B52" s="6" t="s">
        <v>324</v>
      </c>
      <c r="C52" s="5" t="s">
        <v>170</v>
      </c>
      <c r="D52" s="5" t="s">
        <v>398</v>
      </c>
      <c r="E52" s="5" t="s">
        <v>320</v>
      </c>
      <c r="F52" s="5" t="s">
        <v>47</v>
      </c>
      <c r="G52" s="5"/>
      <c r="H52" s="5"/>
    </row>
    <row r="53" ht="39.0" customHeight="1">
      <c r="A53" s="5" t="s">
        <v>409</v>
      </c>
      <c r="B53" s="6" t="s">
        <v>330</v>
      </c>
      <c r="C53" s="5" t="s">
        <v>170</v>
      </c>
      <c r="D53" s="5" t="s">
        <v>398</v>
      </c>
      <c r="E53" s="5" t="s">
        <v>326</v>
      </c>
      <c r="F53" s="5" t="s">
        <v>47</v>
      </c>
      <c r="G53" s="5"/>
      <c r="H53" s="5"/>
    </row>
    <row r="54" ht="39.0" customHeight="1">
      <c r="A54" s="5" t="s">
        <v>410</v>
      </c>
      <c r="B54" s="6" t="s">
        <v>339</v>
      </c>
      <c r="C54" s="5" t="s">
        <v>175</v>
      </c>
      <c r="D54" s="5" t="s">
        <v>398</v>
      </c>
      <c r="E54" s="5" t="s">
        <v>333</v>
      </c>
      <c r="F54" s="5" t="s">
        <v>47</v>
      </c>
      <c r="G54" s="5"/>
      <c r="H54" s="5"/>
    </row>
    <row r="55" ht="39.0" customHeight="1">
      <c r="A55" s="5" t="s">
        <v>411</v>
      </c>
      <c r="B55" s="6" t="s">
        <v>346</v>
      </c>
      <c r="C55" s="5" t="s">
        <v>412</v>
      </c>
      <c r="D55" s="5" t="s">
        <v>398</v>
      </c>
      <c r="E55" s="5" t="s">
        <v>340</v>
      </c>
      <c r="F55" s="5" t="s">
        <v>47</v>
      </c>
      <c r="G55" s="5" t="s">
        <v>413</v>
      </c>
      <c r="H55" s="5" t="s">
        <v>414</v>
      </c>
    </row>
    <row r="56" ht="39.0" customHeight="1">
      <c r="A56" s="5" t="s">
        <v>415</v>
      </c>
      <c r="B56" s="6" t="s">
        <v>355</v>
      </c>
      <c r="C56" s="5" t="s">
        <v>175</v>
      </c>
      <c r="D56" s="5" t="s">
        <v>398</v>
      </c>
      <c r="E56" s="5" t="s">
        <v>350</v>
      </c>
      <c r="F56" s="5" t="s">
        <v>47</v>
      </c>
      <c r="G56" s="5"/>
      <c r="H56" s="5"/>
    </row>
    <row r="57" ht="39.0" customHeight="1">
      <c r="A57" s="5" t="s">
        <v>416</v>
      </c>
      <c r="B57" s="6" t="s">
        <v>362</v>
      </c>
      <c r="C57" s="5" t="s">
        <v>175</v>
      </c>
      <c r="D57" s="5" t="s">
        <v>398</v>
      </c>
      <c r="E57" s="5" t="s">
        <v>357</v>
      </c>
      <c r="F57" s="5" t="s">
        <v>47</v>
      </c>
      <c r="G57" s="5"/>
      <c r="H57" s="5"/>
    </row>
    <row r="58" ht="39.0" customHeight="1">
      <c r="A58" s="5" t="s">
        <v>417</v>
      </c>
      <c r="B58" s="6" t="s">
        <v>369</v>
      </c>
      <c r="C58" s="5" t="s">
        <v>177</v>
      </c>
      <c r="D58" s="5" t="s">
        <v>398</v>
      </c>
      <c r="E58" s="5" t="s">
        <v>363</v>
      </c>
      <c r="F58" s="5" t="s">
        <v>47</v>
      </c>
      <c r="G58" s="5"/>
      <c r="H58" s="5"/>
    </row>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H1"/>
  </mergeCells>
  <conditionalFormatting sqref="F11:F58">
    <cfRule type="containsText" dxfId="8" priority="1" operator="containsText" text="Pass">
      <formula>NOT(ISERROR(SEARCH(("Pass"),(F11))))</formula>
    </cfRule>
  </conditionalFormatting>
  <conditionalFormatting sqref="F11:F58">
    <cfRule type="containsText" dxfId="5" priority="2" operator="containsText" text="Fail">
      <formula>NOT(ISERROR(SEARCH(("Fail"),(F11))))</formula>
    </cfRule>
  </conditionalFormatting>
  <conditionalFormatting sqref="F11:F58">
    <cfRule type="containsText" dxfId="6" priority="3" operator="containsText" text="Blocked">
      <formula>NOT(ISERROR(SEARCH(("Blocked"),(F11))))</formula>
    </cfRule>
  </conditionalFormatting>
  <conditionalFormatting sqref="F11:F58">
    <cfRule type="containsText" dxfId="9" priority="4" operator="containsText" text="Not Executed">
      <formula>NOT(ISERROR(SEARCH(("Not Executed"),(F11))))</formula>
    </cfRule>
  </conditionalFormatting>
  <conditionalFormatting sqref="H11:H58">
    <cfRule type="containsText" dxfId="8" priority="5" operator="containsText" text="Closed">
      <formula>NOT(ISERROR(SEARCH(("Closed"),(H11))))</formula>
    </cfRule>
  </conditionalFormatting>
  <conditionalFormatting sqref="H11:H58">
    <cfRule type="containsText" dxfId="5" priority="6" operator="containsText" text="Opened">
      <formula>NOT(ISERROR(SEARCH(("Opened"),(H11))))</formula>
    </cfRule>
  </conditionalFormatting>
  <conditionalFormatting sqref="H11:H58">
    <cfRule type="containsText" dxfId="6" priority="7" operator="containsText" text="Assigned">
      <formula>NOT(ISERROR(SEARCH(("Assigned"),(H11))))</formula>
    </cfRule>
  </conditionalFormatting>
  <conditionalFormatting sqref="H11:H58">
    <cfRule type="containsText" dxfId="7" priority="8" operator="containsText" text="Ready for Re-Test">
      <formula>NOT(ISERROR(SEARCH(("Ready for Re-Test"),(H11))))</formula>
    </cfRule>
  </conditionalFormatting>
  <printOptions/>
  <pageMargins bottom="0.75" footer="0.0" header="0.0" left="0.7" right="0.7" top="0.75"/>
  <pageSetup orientation="landscape"/>
  <drawing r:id="rId1"/>
  <tableParts count="1">
    <tablePart r:id="rId3"/>
  </tableParts>
</worksheet>
</file>